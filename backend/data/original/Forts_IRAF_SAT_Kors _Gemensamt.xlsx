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lsoaa/Documents/Projects/SeedProjects/SAT/"/>
    </mc:Choice>
  </mc:AlternateContent>
  <xr:revisionPtr revIDLastSave="0" documentId="8_{63EBA38C-34A6-9D4D-9DF3-F92B6C108F7D}" xr6:coauthVersionLast="47" xr6:coauthVersionMax="47" xr10:uidLastSave="{00000000-0000-0000-0000-000000000000}"/>
  <bookViews>
    <workbookView xWindow="0" yWindow="660" windowWidth="34160" windowHeight="21040" tabRatio="500" xr2:uid="{00000000-000D-0000-FFFF-FFFF00000000}"/>
  </bookViews>
  <sheets>
    <sheet name="Sittande till stående" sheetId="1" r:id="rId1"/>
    <sheet name="Stående till sittan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56" i="2" l="1"/>
  <c r="N154" i="2"/>
  <c r="N152" i="2"/>
  <c r="N150" i="2"/>
  <c r="N149" i="2"/>
  <c r="N146" i="2"/>
  <c r="N134" i="2"/>
  <c r="N133" i="2"/>
  <c r="N130" i="2"/>
  <c r="N129" i="2"/>
  <c r="M156" i="2"/>
  <c r="M154" i="2"/>
  <c r="M152" i="2"/>
  <c r="M150" i="2"/>
  <c r="M149" i="2"/>
  <c r="M146" i="2"/>
  <c r="M134" i="2"/>
  <c r="M133" i="2"/>
  <c r="M130" i="2"/>
  <c r="M129" i="2"/>
  <c r="N125" i="2"/>
  <c r="N123" i="2"/>
  <c r="N121" i="2"/>
  <c r="N119" i="2"/>
  <c r="N118" i="2"/>
  <c r="N115" i="2"/>
  <c r="N103" i="2"/>
  <c r="N102" i="2"/>
  <c r="N99" i="2"/>
  <c r="N98" i="2"/>
  <c r="M125" i="2"/>
  <c r="M123" i="2"/>
  <c r="M121" i="2"/>
  <c r="M119" i="2"/>
  <c r="M118" i="2"/>
  <c r="M115" i="2"/>
  <c r="M103" i="2"/>
  <c r="M102" i="2"/>
  <c r="M99" i="2"/>
  <c r="M98" i="2"/>
  <c r="N94" i="2"/>
  <c r="N92" i="2"/>
  <c r="N90" i="2"/>
  <c r="N88" i="2"/>
  <c r="N87" i="2"/>
  <c r="N84" i="2"/>
  <c r="N81" i="2"/>
  <c r="N80" i="2"/>
  <c r="N71" i="2"/>
  <c r="M94" i="2"/>
  <c r="M92" i="2"/>
  <c r="M90" i="2"/>
  <c r="M88" i="2"/>
  <c r="M87" i="2"/>
  <c r="M84" i="2"/>
  <c r="M81" i="2"/>
  <c r="M80" i="2"/>
  <c r="M71" i="2"/>
  <c r="N68" i="2"/>
  <c r="N67" i="2"/>
  <c r="M68" i="2"/>
  <c r="M67" i="2"/>
  <c r="N63" i="2"/>
  <c r="N62" i="2"/>
  <c r="N59" i="2"/>
  <c r="N58" i="2"/>
  <c r="N57" i="2"/>
  <c r="N56" i="2"/>
  <c r="N53" i="2"/>
  <c r="N50" i="2"/>
  <c r="N49" i="2"/>
  <c r="N40" i="2"/>
  <c r="N37" i="2"/>
  <c r="N36" i="2"/>
  <c r="M63" i="2"/>
  <c r="M62" i="2"/>
  <c r="M59" i="2"/>
  <c r="M58" i="2"/>
  <c r="M57" i="2"/>
  <c r="M56" i="2"/>
  <c r="M53" i="2"/>
  <c r="M50" i="2"/>
  <c r="M49" i="2"/>
  <c r="M40" i="2"/>
  <c r="M37" i="2"/>
  <c r="M36" i="2"/>
  <c r="N31" i="2"/>
  <c r="N27" i="2"/>
  <c r="M31" i="2"/>
  <c r="M27" i="2"/>
  <c r="N25" i="2"/>
  <c r="N24" i="2"/>
  <c r="M25" i="2"/>
  <c r="M24" i="2"/>
  <c r="N21" i="2"/>
  <c r="M21" i="2"/>
  <c r="N17" i="2"/>
  <c r="M17" i="2"/>
  <c r="N8" i="2"/>
  <c r="N5" i="2"/>
  <c r="M8" i="2"/>
  <c r="M5" i="2"/>
  <c r="N4" i="2"/>
  <c r="M4" i="2"/>
  <c r="N142" i="1"/>
  <c r="N143" i="1"/>
  <c r="N144" i="1"/>
  <c r="N145" i="1"/>
  <c r="N141" i="1"/>
  <c r="N139" i="1"/>
  <c r="N138" i="1"/>
  <c r="N136" i="1"/>
  <c r="N134" i="1"/>
  <c r="N132" i="1"/>
  <c r="N126" i="1"/>
  <c r="N127" i="1"/>
  <c r="N128" i="1"/>
  <c r="N129" i="1"/>
  <c r="N130" i="1"/>
  <c r="N125" i="1"/>
  <c r="N121" i="1"/>
  <c r="N122" i="1"/>
  <c r="N123" i="1"/>
  <c r="N120" i="1"/>
  <c r="N113" i="1"/>
  <c r="N114" i="1"/>
  <c r="N115" i="1"/>
  <c r="N116" i="1"/>
  <c r="N112" i="1"/>
  <c r="N108" i="1"/>
  <c r="N109" i="1"/>
  <c r="N110" i="1"/>
  <c r="N107" i="1"/>
  <c r="N105" i="1"/>
  <c r="N103" i="1"/>
  <c r="N100" i="1"/>
  <c r="N99" i="1"/>
  <c r="N97" i="1"/>
  <c r="N92" i="1"/>
  <c r="N93" i="1"/>
  <c r="N94" i="1"/>
  <c r="N91" i="1"/>
  <c r="N84" i="1"/>
  <c r="N85" i="1"/>
  <c r="N86" i="1"/>
  <c r="N87" i="1"/>
  <c r="N83" i="1"/>
  <c r="N79" i="1"/>
  <c r="N80" i="1"/>
  <c r="N81" i="1"/>
  <c r="N78" i="1"/>
  <c r="N76" i="1"/>
  <c r="N74" i="1"/>
  <c r="N71" i="1"/>
  <c r="N72" i="1"/>
  <c r="N70" i="1"/>
  <c r="N68" i="1"/>
  <c r="N63" i="1"/>
  <c r="N64" i="1"/>
  <c r="N65" i="1"/>
  <c r="N62" i="1"/>
  <c r="N55" i="1"/>
  <c r="N56" i="1"/>
  <c r="N57" i="1"/>
  <c r="N58" i="1"/>
  <c r="N54" i="1"/>
  <c r="N50" i="1"/>
  <c r="N51" i="1"/>
  <c r="N52" i="1"/>
  <c r="N49" i="1"/>
  <c r="N47" i="1"/>
  <c r="N45" i="1"/>
  <c r="N41" i="1"/>
  <c r="N42" i="1"/>
  <c r="N43" i="1"/>
  <c r="N40" i="1"/>
  <c r="N34" i="1"/>
  <c r="N35" i="1"/>
  <c r="N36" i="1"/>
  <c r="N33" i="1"/>
  <c r="N26" i="1"/>
  <c r="N27" i="1"/>
  <c r="N28" i="1"/>
  <c r="N29" i="1"/>
  <c r="N25" i="1"/>
  <c r="N21" i="1"/>
  <c r="N22" i="1"/>
  <c r="N23" i="1"/>
  <c r="N20" i="1"/>
  <c r="N18" i="1"/>
  <c r="N16" i="1"/>
  <c r="N12" i="1"/>
  <c r="N13" i="1"/>
  <c r="N14" i="1"/>
  <c r="N11" i="1"/>
  <c r="N5" i="1"/>
  <c r="N6" i="1"/>
  <c r="N7" i="1"/>
  <c r="N4" i="1"/>
  <c r="M142" i="1"/>
  <c r="M143" i="1"/>
  <c r="M144" i="1"/>
  <c r="M145" i="1"/>
  <c r="M141" i="1"/>
  <c r="M139" i="1"/>
  <c r="M138" i="1"/>
  <c r="M136" i="1"/>
  <c r="M134" i="1"/>
  <c r="M132" i="1"/>
  <c r="M126" i="1"/>
  <c r="M127" i="1"/>
  <c r="M128" i="1"/>
  <c r="M129" i="1"/>
  <c r="M130" i="1"/>
  <c r="M125" i="1"/>
  <c r="M121" i="1"/>
  <c r="M122" i="1"/>
  <c r="M123" i="1"/>
  <c r="M120" i="1"/>
  <c r="M113" i="1"/>
  <c r="M114" i="1"/>
  <c r="M115" i="1"/>
  <c r="M116" i="1"/>
  <c r="M112" i="1"/>
  <c r="M108" i="1"/>
  <c r="M109" i="1"/>
  <c r="M110" i="1"/>
  <c r="M107" i="1"/>
  <c r="M105" i="1"/>
  <c r="M103" i="1"/>
  <c r="M100" i="1"/>
  <c r="M99" i="1"/>
  <c r="M97" i="1"/>
  <c r="M92" i="1"/>
  <c r="M93" i="1"/>
  <c r="M94" i="1"/>
  <c r="M91" i="1"/>
  <c r="M84" i="1"/>
  <c r="M85" i="1"/>
  <c r="M86" i="1"/>
  <c r="M87" i="1"/>
  <c r="M83" i="1"/>
  <c r="M79" i="1"/>
  <c r="M80" i="1"/>
  <c r="M81" i="1"/>
  <c r="M78" i="1"/>
  <c r="M76" i="1"/>
  <c r="M74" i="1"/>
  <c r="M71" i="1"/>
  <c r="M72" i="1"/>
  <c r="M70" i="1"/>
  <c r="M68" i="1"/>
  <c r="M63" i="1"/>
  <c r="M64" i="1"/>
  <c r="M65" i="1"/>
  <c r="M62" i="1"/>
  <c r="M55" i="1"/>
  <c r="M56" i="1"/>
  <c r="M57" i="1"/>
  <c r="M58" i="1"/>
  <c r="M54" i="1"/>
  <c r="M50" i="1"/>
  <c r="M51" i="1"/>
  <c r="M52" i="1"/>
  <c r="M49" i="1"/>
  <c r="M47" i="1"/>
  <c r="M45" i="1"/>
  <c r="M41" i="1"/>
  <c r="M42" i="1"/>
  <c r="M43" i="1"/>
  <c r="M40" i="1"/>
  <c r="M34" i="1"/>
  <c r="M35" i="1"/>
  <c r="M36" i="1"/>
  <c r="M33" i="1"/>
  <c r="M26" i="1"/>
  <c r="M27" i="1"/>
  <c r="M28" i="1"/>
  <c r="M29" i="1"/>
  <c r="M25" i="1"/>
  <c r="M21" i="1"/>
  <c r="M22" i="1"/>
  <c r="M23" i="1"/>
  <c r="M20" i="1"/>
  <c r="M18" i="1"/>
  <c r="M16" i="1"/>
  <c r="M12" i="1"/>
  <c r="M13" i="1"/>
  <c r="M14" i="1"/>
  <c r="M11" i="1"/>
  <c r="M5" i="1"/>
  <c r="M6" i="1"/>
  <c r="M7" i="1"/>
  <c r="M4" i="1"/>
</calcChain>
</file>

<file path=xl/sharedStrings.xml><?xml version="1.0" encoding="utf-8"?>
<sst xmlns="http://schemas.openxmlformats.org/spreadsheetml/2006/main" count="732" uniqueCount="179">
  <si>
    <t>Sittande till stående</t>
  </si>
  <si>
    <t>Viktning</t>
  </si>
  <si>
    <t>Tid i film</t>
  </si>
  <si>
    <t>A_Avvikelse (0-2)</t>
  </si>
  <si>
    <t>A_Säker (0-2)</t>
  </si>
  <si>
    <t>A_Ej möjligt att analysera (x)</t>
  </si>
  <si>
    <t>Utgångsposition</t>
  </si>
  <si>
    <t>09.90</t>
  </si>
  <si>
    <t>Fötterna rakt framför höftlederna </t>
  </si>
  <si>
    <t>Knä flex &gt;90gr</t>
  </si>
  <si>
    <t>Knäskålarna riktade rakt fram</t>
  </si>
  <si>
    <t>Bäcken i neutralposition (lätt framåttippat)</t>
  </si>
  <si>
    <t>Bäcken symmetriskt (crista-kanter i samma nivå frontalplan, SIAS i samma nivå transversalplan)</t>
  </si>
  <si>
    <t>x</t>
  </si>
  <si>
    <t>Ländrygg i neutral ländlordos</t>
  </si>
  <si>
    <t>Bröstrygg i neutral thorakalkyfos</t>
  </si>
  <si>
    <t>Hela bålen strax framför sittbensknölarna</t>
  </si>
  <si>
    <t>Överarmar neutralt längs med bålen utan rotation</t>
  </si>
  <si>
    <t>Huvudet positionerat över bålen</t>
  </si>
  <si>
    <t>Nacke i neutral cervikallordos</t>
  </si>
  <si>
    <t>Rörelsestart</t>
  </si>
  <si>
    <t>09.92</t>
  </si>
  <si>
    <t>Framåttippning av bäckenet och framåtfällning av bålen</t>
  </si>
  <si>
    <t>Rörelseutförande</t>
  </si>
  <si>
    <t>09.92 - 11.77</t>
  </si>
  <si>
    <t>Rörelsen utförs med jämt flöde (fluid och smooth)</t>
  </si>
  <si>
    <t>Förberedelsefas (fram till och med seat off)</t>
  </si>
  <si>
    <t>11.12</t>
  </si>
  <si>
    <t>Bäckenet fortsätter framåt tillsammans med bålen (flexion momentum)</t>
  </si>
  <si>
    <t>Huvudet följer i linje med bålens längsaxel </t>
  </si>
  <si>
    <t>Händer och armar följer avslappnat med i rörelsen utan aktivt tryck/drag/pendling</t>
  </si>
  <si>
    <t>Bålen förflyttas ytterligare framåt med tillräcklig hastighet</t>
  </si>
  <si>
    <t>Uppresningsfas (efter seat off till upprätt stående)</t>
  </si>
  <si>
    <t>11.19</t>
  </si>
  <si>
    <t>Knät och underbenets proximala del förflyttas rakt framåt (dorsalflexion i fotlederna)</t>
  </si>
  <si>
    <t>Sträcker knä- och höftleder till neutralläge för stående </t>
  </si>
  <si>
    <t>Bålen vinklas upp till neutral stående utgångsposition</t>
  </si>
  <si>
    <t>Nacke och skuldror följer hela bålens rörelse.</t>
  </si>
  <si>
    <t>06.54</t>
  </si>
  <si>
    <t>06.70</t>
  </si>
  <si>
    <t>06.70 - 07.98</t>
  </si>
  <si>
    <t>07.29</t>
  </si>
  <si>
    <t>07.45</t>
  </si>
  <si>
    <t>06.65</t>
  </si>
  <si>
    <t>06.88</t>
  </si>
  <si>
    <t>06.90- 09.11</t>
  </si>
  <si>
    <t>07.96</t>
  </si>
  <si>
    <t>08.19</t>
  </si>
  <si>
    <t>06.07</t>
  </si>
  <si>
    <t>06.33</t>
  </si>
  <si>
    <t>06.35- 07.27</t>
  </si>
  <si>
    <t>06.71</t>
  </si>
  <si>
    <t>06.90</t>
  </si>
  <si>
    <t>06.39</t>
  </si>
  <si>
    <t>06.55</t>
  </si>
  <si>
    <t>06.60- 07.61</t>
  </si>
  <si>
    <t>07.03</t>
  </si>
  <si>
    <t>07.18</t>
  </si>
  <si>
    <t>Stående till sittande</t>
  </si>
  <si>
    <t>Utgångsposition </t>
  </si>
  <si>
    <t>11.87</t>
  </si>
  <si>
    <t>Står med fötterna parallellt, riktade rakt fram</t>
  </si>
  <si>
    <t>Står med fötterna rakt under höftlederna </t>
  </si>
  <si>
    <t>1 (2)</t>
  </si>
  <si>
    <t>Kroppsvikten jämt fördelad mellan medial- och lateralsida på foten</t>
  </si>
  <si>
    <t>Knäskålarna riktade mot mellersta tån</t>
  </si>
  <si>
    <t>Knäna neutralt semiflekterade </t>
  </si>
  <si>
    <t>Bäckenet neutralt framåttippat i sagittalplan</t>
  </si>
  <si>
    <t>Bäckenet (SIAS) symmetriskt i frontalplan</t>
  </si>
  <si>
    <t>Ländryggen i neutral lordos i sagittalplan (ej rot)</t>
  </si>
  <si>
    <t>Thorakalrygg i neutral kyfos i sagittalplan</t>
  </si>
  <si>
    <t>Thorakalrygg symmetrisk i frontalplan (ej rot)</t>
  </si>
  <si>
    <t>Huvudet symmetrisk position rakt ovanför bålen </t>
  </si>
  <si>
    <t>Cervikalrygg i neutral lordos i sagittalplan</t>
  </si>
  <si>
    <t>Axlarna symmetriska och i samma nivå</t>
  </si>
  <si>
    <t>Överarmarna längs med bålen</t>
  </si>
  <si>
    <t>Bålen placerad rakt över bäckenet i sagittalplan</t>
  </si>
  <si>
    <t>Rörelsestart </t>
  </si>
  <si>
    <t>11.88</t>
  </si>
  <si>
    <t>Bålen fälls framåt, höfter och knän böjs (flekteras)</t>
  </si>
  <si>
    <t>11.90 - 12.87</t>
  </si>
  <si>
    <t>Fas 1 (inledande nedåtgående rörelse)</t>
  </si>
  <si>
    <t>Bålen fortsätter fällas framåt och höftböjningen fortskrider</t>
  </si>
  <si>
    <t>Knäna fortsätter böjas och rör sig framåt initialt.</t>
  </si>
  <si>
    <t>Knäna bibehålls riktade mot mellersta tån</t>
  </si>
  <si>
    <t>Kontrollerad sänkning av kroppen</t>
  </si>
  <si>
    <t>Fas 2 (avslutande bakåtgående rörelse)</t>
  </si>
  <si>
    <t>12.57</t>
  </si>
  <si>
    <t>Förflyttar bäckenet bakåt/nedåt kontrollerat och symmetriskt</t>
  </si>
  <si>
    <t>Händer/armar följer med i rörelsen utan aktivt mothåll mot armstöd/sits</t>
  </si>
  <si>
    <t>07.90</t>
  </si>
  <si>
    <t>09.11</t>
  </si>
  <si>
    <t>09.15</t>
  </si>
  <si>
    <t>09.17  - 11.06</t>
  </si>
  <si>
    <t>10.37</t>
  </si>
  <si>
    <t>07.27</t>
  </si>
  <si>
    <t>07.46</t>
  </si>
  <si>
    <t>07.50  - 08.20</t>
  </si>
  <si>
    <t>08.01</t>
  </si>
  <si>
    <t>07.64</t>
  </si>
  <si>
    <t>07.79</t>
  </si>
  <si>
    <t>07.84  - 08.25</t>
  </si>
  <si>
    <t>08.09</t>
  </si>
  <si>
    <t>Tyngd på hälarna</t>
  </si>
  <si>
    <t>Knän och höfter böjs men utan att bål fälls fram</t>
  </si>
  <si>
    <t>B_Avvikelse (0-2)</t>
  </si>
  <si>
    <t>B_Säker (0-2)</t>
  </si>
  <si>
    <t>B_Ej möjligt att analysera (x)</t>
  </si>
  <si>
    <t>Protraherat och roterat</t>
  </si>
  <si>
    <t>Flexion huvud och bål</t>
  </si>
  <si>
    <t>Flexion bröstrygg och nackextention</t>
  </si>
  <si>
    <t>inåtroterar</t>
  </si>
  <si>
    <t>Översträcker knän, tyngd på hälar</t>
  </si>
  <si>
    <t>Flexion i bål, skuldror höjs</t>
  </si>
  <si>
    <t>x troligen</t>
  </si>
  <si>
    <t>Korsade enligt instruktion</t>
  </si>
  <si>
    <t>C_Avvikelse (0-2)</t>
  </si>
  <si>
    <t>C_Säker (0-2)</t>
  </si>
  <si>
    <t>C_Ej möjligt att analysera (x)</t>
  </si>
  <si>
    <t>Bakåttippat bäcken</t>
  </si>
  <si>
    <t>Enligt instruktion i kors</t>
  </si>
  <si>
    <t>Huvudet först</t>
  </si>
  <si>
    <t>Huvudet lite framför</t>
  </si>
  <si>
    <t>x Enligt instruktion korsade</t>
  </si>
  <si>
    <t>Vänster knä lite inåt</t>
  </si>
  <si>
    <t>Något bakåttippat</t>
  </si>
  <si>
    <t>Enligt instruktion korsade</t>
  </si>
  <si>
    <t>Huvudet något före bål o bäcken</t>
  </si>
  <si>
    <t>Huvudet lite framåt</t>
  </si>
  <si>
    <t>Enligt intruktion korsade</t>
  </si>
  <si>
    <t>Börjar sätta sig före helt upprätt</t>
  </si>
  <si>
    <t>Sitter med bäckenet bakåt-tippat</t>
  </si>
  <si>
    <t>ffa överkroppen framåt</t>
  </si>
  <si>
    <t>Hakan framåt</t>
  </si>
  <si>
    <t>Bakåttippat</t>
  </si>
  <si>
    <t>Ev något framför</t>
  </si>
  <si>
    <t>Lyfter båda fötterna, trol låg stol</t>
  </si>
  <si>
    <t>x bakom pilen</t>
  </si>
  <si>
    <t>Höftleder inte tillräckligt sträckta</t>
  </si>
  <si>
    <t>Börjar sätta sig före</t>
  </si>
  <si>
    <t>Verkar mera vara 90 grader</t>
  </si>
  <si>
    <t>Troligen, ev lite ut</t>
  </si>
  <si>
    <t>Sitter med stöd mot ryggstödet</t>
  </si>
  <si>
    <t>Verkar vara mer plan</t>
  </si>
  <si>
    <t>Hakan fram, dvs för mycket lordos</t>
  </si>
  <si>
    <t>Huvudet börjar</t>
  </si>
  <si>
    <t>x pilen ivägen</t>
  </si>
  <si>
    <t>Höftleder kvar i lite böj</t>
  </si>
  <si>
    <t>Trol inte</t>
  </si>
  <si>
    <t>Gem_Avvikelse (0-2)</t>
  </si>
  <si>
    <t>Gem_Säker (0-2)</t>
  </si>
  <si>
    <t>Försöksperson: SB. Film Nr: 028</t>
  </si>
  <si>
    <t>Försöksperson: CF Film Nr: 045</t>
  </si>
  <si>
    <t>Försöksperson: JN Film Nr: 059</t>
  </si>
  <si>
    <t>Försöksperson: AL Film Nr: 074</t>
  </si>
  <si>
    <t>Försöksperson: WL Film Nr: 091</t>
  </si>
  <si>
    <t>Försöksperson: SB Film Nr: 028</t>
  </si>
  <si>
    <t xml:space="preserve"> Försöksperson: CF Film Nr: 045</t>
  </si>
  <si>
    <t>Böjda höfter</t>
  </si>
  <si>
    <t>Alltför böjda, ej kommit till ext</t>
  </si>
  <si>
    <t>För mycket lordos</t>
  </si>
  <si>
    <t>Alltför mycket fram</t>
  </si>
  <si>
    <t>Alltför mycket lordos</t>
  </si>
  <si>
    <t>Framför, pga böjda höfter</t>
  </si>
  <si>
    <t>Vänster knä inåt</t>
  </si>
  <si>
    <t>Symmetriskt?, med tanke på vä</t>
  </si>
  <si>
    <t>Inte vänster</t>
  </si>
  <si>
    <t>Troligen</t>
  </si>
  <si>
    <t>Lite utplanad</t>
  </si>
  <si>
    <t>Höftlederna fortfarande böjda</t>
  </si>
  <si>
    <t>Trol, svårt att se</t>
  </si>
  <si>
    <t>Trots lätt böjda höfter</t>
  </si>
  <si>
    <t>Troligen lite för mycket</t>
  </si>
  <si>
    <t>Lätt böjda höfter</t>
  </si>
  <si>
    <t>Hade behövt se framifrån</t>
  </si>
  <si>
    <t>Svårt att se, kvar i lite höftböj</t>
  </si>
  <si>
    <t>Trol lite för mycket lordos</t>
  </si>
  <si>
    <t>Lite framför, ej sträckt i höfterna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</si>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</sst>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"/>
    </font>
    <font>
      <sz val="10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i/>
      <sz val="10"/>
      <color rgb="FF000000"/>
      <name val="Calibri"/>
      <family val="2"/>
      <charset val="1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E8E8E8"/>
      </patternFill>
    </fill>
    <fill>
      <patternFill patternType="solid">
        <fgColor theme="2"/>
        <bgColor rgb="FFFFFFFF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4" fillId="3" borderId="0" xfId="0" applyFont="1" applyFill="1" applyAlignment="1">
      <alignment vertical="center" wrapText="1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0" borderId="0" xfId="0" applyFont="1" applyFill="1"/>
    <xf numFmtId="0" fontId="1" fillId="0" borderId="1" xfId="0" applyFont="1" applyFill="1" applyBorder="1"/>
    <xf numFmtId="0" fontId="4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2" fontId="1" fillId="0" borderId="0" xfId="0" applyNumberFormat="1" applyFont="1" applyAlignment="1">
      <alignment horizontal="center"/>
    </xf>
    <xf numFmtId="2" fontId="9" fillId="5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"/>
  <sheetViews>
    <sheetView tabSelected="1" zoomScale="177" zoomScaleNormal="177" workbookViewId="0">
      <selection activeCell="A13" sqref="A13"/>
    </sheetView>
  </sheetViews>
  <sheetFormatPr baseColWidth="10" defaultColWidth="8.6640625" defaultRowHeight="13.5" customHeight="1" x14ac:dyDescent="0.2"/>
  <cols>
    <col min="1" max="1" width="58.5" style="1" customWidth="1"/>
    <col min="2" max="2" width="8.1640625" style="1" customWidth="1"/>
    <col min="3" max="3" width="16.5" style="12" customWidth="1"/>
    <col min="4" max="4" width="15.5" style="12" customWidth="1"/>
    <col min="5" max="5" width="14.1640625" style="12" customWidth="1"/>
    <col min="6" max="6" width="10.5" style="12" customWidth="1"/>
    <col min="7" max="7" width="15.5" style="1" customWidth="1"/>
    <col min="8" max="8" width="12.5" style="1" customWidth="1"/>
    <col min="9" max="9" width="10.83203125" style="5" customWidth="1"/>
    <col min="10" max="10" width="15.5" style="5" customWidth="1"/>
    <col min="11" max="11" width="12.5" style="5" customWidth="1"/>
    <col min="12" max="12" width="16.6640625" style="5" customWidth="1"/>
    <col min="13" max="13" width="18.83203125" style="21" customWidth="1"/>
    <col min="14" max="14" width="15.83203125" style="5" customWidth="1"/>
    <col min="15" max="15" width="28.83203125" style="1" customWidth="1"/>
    <col min="16" max="16384" width="8.6640625" style="1"/>
  </cols>
  <sheetData>
    <row r="1" spans="1:15" ht="21" customHeight="1" x14ac:dyDescent="0.25">
      <c r="A1" s="2" t="s">
        <v>151</v>
      </c>
    </row>
    <row r="2" spans="1:15" ht="15" x14ac:dyDescent="0.2">
      <c r="A2" s="17" t="s">
        <v>0</v>
      </c>
      <c r="B2" s="1" t="s">
        <v>1</v>
      </c>
      <c r="C2" s="13" t="s">
        <v>2</v>
      </c>
      <c r="D2" s="18" t="s">
        <v>3</v>
      </c>
      <c r="E2" s="18" t="s">
        <v>4</v>
      </c>
      <c r="F2" s="18" t="s">
        <v>5</v>
      </c>
      <c r="G2" s="18" t="s">
        <v>105</v>
      </c>
      <c r="H2" s="18" t="s">
        <v>106</v>
      </c>
      <c r="I2" s="19" t="s">
        <v>107</v>
      </c>
      <c r="J2" s="19" t="s">
        <v>116</v>
      </c>
      <c r="K2" s="19" t="s">
        <v>117</v>
      </c>
      <c r="L2" s="19" t="s">
        <v>118</v>
      </c>
      <c r="M2" s="22" t="s">
        <v>149</v>
      </c>
      <c r="N2" s="23" t="s">
        <v>150</v>
      </c>
      <c r="O2" s="20"/>
    </row>
    <row r="3" spans="1:15" ht="15" x14ac:dyDescent="0.2">
      <c r="A3" s="3" t="s">
        <v>6</v>
      </c>
      <c r="B3" s="1">
        <v>3</v>
      </c>
      <c r="C3" s="12" t="s">
        <v>7</v>
      </c>
      <c r="D3" s="18"/>
      <c r="E3" s="18"/>
      <c r="F3" s="18"/>
      <c r="G3" s="18"/>
      <c r="H3" s="18"/>
      <c r="I3" s="19"/>
      <c r="J3" s="19"/>
      <c r="K3" s="19"/>
      <c r="L3" s="19"/>
    </row>
    <row r="4" spans="1:15" ht="15" x14ac:dyDescent="0.2">
      <c r="A4" s="4" t="s">
        <v>8</v>
      </c>
      <c r="B4" s="4">
        <v>2</v>
      </c>
      <c r="C4" s="14"/>
      <c r="D4" s="18">
        <v>0</v>
      </c>
      <c r="E4" s="18">
        <v>1</v>
      </c>
      <c r="F4" s="18"/>
      <c r="G4" s="18">
        <v>0</v>
      </c>
      <c r="H4" s="18">
        <v>1</v>
      </c>
      <c r="I4" s="19"/>
      <c r="J4" s="19">
        <v>0</v>
      </c>
      <c r="K4" s="19">
        <v>2</v>
      </c>
      <c r="L4" s="19"/>
      <c r="M4" s="21">
        <f>AVERAGE(D4,G4,J4)</f>
        <v>0</v>
      </c>
      <c r="N4" s="5">
        <f>AVERAGE(E4,H4,K4)</f>
        <v>1.3333333333333333</v>
      </c>
    </row>
    <row r="5" spans="1:15" ht="15" x14ac:dyDescent="0.2">
      <c r="A5" s="4" t="s">
        <v>9</v>
      </c>
      <c r="B5" s="4">
        <v>2</v>
      </c>
      <c r="C5" s="14"/>
      <c r="D5" s="18">
        <v>0</v>
      </c>
      <c r="E5" s="18">
        <v>2</v>
      </c>
      <c r="F5" s="18"/>
      <c r="G5" s="18">
        <v>0</v>
      </c>
      <c r="H5" s="18">
        <v>2</v>
      </c>
      <c r="I5" s="19"/>
      <c r="J5" s="19">
        <v>0</v>
      </c>
      <c r="K5" s="19">
        <v>2</v>
      </c>
      <c r="L5" s="19"/>
      <c r="M5" s="21">
        <f t="shared" ref="M5:M7" si="0">AVERAGE(D5,G5,J5)</f>
        <v>0</v>
      </c>
      <c r="N5" s="5">
        <f t="shared" ref="N5:N7" si="1">AVERAGE(E5,H5,K5)</f>
        <v>2</v>
      </c>
    </row>
    <row r="6" spans="1:15" ht="15" x14ac:dyDescent="0.2">
      <c r="A6" s="4" t="s">
        <v>10</v>
      </c>
      <c r="B6" s="4">
        <v>3</v>
      </c>
      <c r="C6" s="14"/>
      <c r="D6" s="18">
        <v>1</v>
      </c>
      <c r="E6" s="18">
        <v>1</v>
      </c>
      <c r="F6" s="18"/>
      <c r="G6" s="18">
        <v>0</v>
      </c>
      <c r="H6" s="18">
        <v>1</v>
      </c>
      <c r="I6" s="19"/>
      <c r="J6" s="19">
        <v>0</v>
      </c>
      <c r="K6" s="19">
        <v>2</v>
      </c>
      <c r="L6" s="19"/>
      <c r="M6" s="21">
        <f t="shared" si="0"/>
        <v>0.33333333333333331</v>
      </c>
      <c r="N6" s="5">
        <f t="shared" si="1"/>
        <v>1.3333333333333333</v>
      </c>
    </row>
    <row r="7" spans="1:15" ht="15" x14ac:dyDescent="0.2">
      <c r="A7" s="4" t="s">
        <v>11</v>
      </c>
      <c r="B7" s="4">
        <v>3</v>
      </c>
      <c r="C7" s="14"/>
      <c r="D7" s="18">
        <v>2</v>
      </c>
      <c r="E7" s="18">
        <v>2</v>
      </c>
      <c r="F7" s="18"/>
      <c r="G7" s="18">
        <v>2</v>
      </c>
      <c r="H7" s="18">
        <v>2</v>
      </c>
      <c r="I7" s="19"/>
      <c r="J7" s="19">
        <v>2</v>
      </c>
      <c r="K7" s="19">
        <v>2</v>
      </c>
      <c r="L7" s="19" t="s">
        <v>119</v>
      </c>
      <c r="M7" s="21">
        <f t="shared" si="0"/>
        <v>2</v>
      </c>
      <c r="N7" s="5">
        <f t="shared" si="1"/>
        <v>2</v>
      </c>
    </row>
    <row r="8" spans="1:15" ht="30" x14ac:dyDescent="0.2">
      <c r="A8" s="4" t="s">
        <v>12</v>
      </c>
      <c r="B8" s="4">
        <v>1</v>
      </c>
      <c r="C8" s="14"/>
      <c r="D8" s="18"/>
      <c r="E8" s="18"/>
      <c r="F8" s="18" t="s">
        <v>178</v>
      </c>
      <c r="G8" s="18"/>
      <c r="H8" s="18"/>
      <c r="I8" s="19" t="s">
        <v>13</v>
      </c>
      <c r="J8" s="19"/>
      <c r="K8" s="19"/>
      <c r="L8" s="19" t="s">
        <v>13</v>
      </c>
      <c r="M8" s="19" t="s">
        <v>13</v>
      </c>
      <c r="N8" s="19" t="s">
        <v>13</v>
      </c>
      <c r="O8" s="5"/>
    </row>
    <row r="9" spans="1:15" ht="15" x14ac:dyDescent="0.2">
      <c r="A9" s="4" t="s">
        <v>14</v>
      </c>
      <c r="B9" s="4">
        <v>2</v>
      </c>
      <c r="C9" s="14"/>
      <c r="D9" s="18">
        <v>2</v>
      </c>
      <c r="E9" s="18">
        <v>1</v>
      </c>
      <c r="F9" s="18"/>
      <c r="G9" s="18">
        <v>2</v>
      </c>
      <c r="H9" s="18">
        <v>2</v>
      </c>
      <c r="I9" s="19"/>
      <c r="J9" s="19"/>
      <c r="K9" s="19"/>
      <c r="L9" s="19" t="s">
        <v>13</v>
      </c>
      <c r="M9" s="19" t="s">
        <v>13</v>
      </c>
      <c r="N9" s="19" t="s">
        <v>13</v>
      </c>
      <c r="O9" s="5"/>
    </row>
    <row r="10" spans="1:15" ht="15" x14ac:dyDescent="0.2">
      <c r="A10" s="4" t="s">
        <v>15</v>
      </c>
      <c r="B10" s="4">
        <v>1</v>
      </c>
      <c r="C10" s="14"/>
      <c r="D10" s="18"/>
      <c r="E10" s="18"/>
      <c r="F10" s="18" t="s">
        <v>13</v>
      </c>
      <c r="G10" s="18">
        <v>2</v>
      </c>
      <c r="H10" s="18">
        <v>2</v>
      </c>
      <c r="I10" s="19"/>
      <c r="J10" s="19"/>
      <c r="K10" s="19"/>
      <c r="L10" s="19" t="s">
        <v>13</v>
      </c>
      <c r="M10" s="19" t="s">
        <v>13</v>
      </c>
      <c r="N10" s="19" t="s">
        <v>13</v>
      </c>
      <c r="O10" s="5"/>
    </row>
    <row r="11" spans="1:15" ht="15" x14ac:dyDescent="0.2">
      <c r="A11" s="4" t="s">
        <v>16</v>
      </c>
      <c r="B11" s="4">
        <v>3</v>
      </c>
      <c r="C11" s="14"/>
      <c r="D11" s="18">
        <v>2</v>
      </c>
      <c r="E11" s="18">
        <v>2</v>
      </c>
      <c r="F11" s="18"/>
      <c r="G11" s="18">
        <v>2</v>
      </c>
      <c r="H11" s="18">
        <v>2</v>
      </c>
      <c r="I11" s="19"/>
      <c r="J11" s="19">
        <v>2</v>
      </c>
      <c r="K11" s="19">
        <v>2</v>
      </c>
      <c r="L11" s="19"/>
      <c r="M11" s="21">
        <f t="shared" ref="M11:N29" si="2">AVERAGE(D11,G11,J11)</f>
        <v>2</v>
      </c>
      <c r="N11" s="5">
        <f t="shared" si="2"/>
        <v>2</v>
      </c>
    </row>
    <row r="12" spans="1:15" ht="15" x14ac:dyDescent="0.2">
      <c r="A12" s="4" t="s">
        <v>17</v>
      </c>
      <c r="B12" s="4">
        <v>1</v>
      </c>
      <c r="C12" s="14"/>
      <c r="D12" s="18">
        <v>2</v>
      </c>
      <c r="E12" s="18">
        <v>2</v>
      </c>
      <c r="F12" s="18"/>
      <c r="G12" s="18">
        <v>2</v>
      </c>
      <c r="H12" s="18">
        <v>2</v>
      </c>
      <c r="I12" s="19"/>
      <c r="J12" s="19">
        <v>2</v>
      </c>
      <c r="K12" s="19">
        <v>2</v>
      </c>
      <c r="L12" s="19" t="s">
        <v>120</v>
      </c>
      <c r="M12" s="21">
        <f t="shared" si="2"/>
        <v>2</v>
      </c>
      <c r="N12" s="5">
        <f t="shared" si="2"/>
        <v>2</v>
      </c>
    </row>
    <row r="13" spans="1:15" ht="15" x14ac:dyDescent="0.2">
      <c r="A13" s="4" t="s">
        <v>18</v>
      </c>
      <c r="B13" s="4">
        <v>2</v>
      </c>
      <c r="C13" s="14"/>
      <c r="D13" s="18">
        <v>0</v>
      </c>
      <c r="E13" s="18">
        <v>1</v>
      </c>
      <c r="F13" s="18"/>
      <c r="G13" s="18">
        <v>1</v>
      </c>
      <c r="H13" s="18">
        <v>1</v>
      </c>
      <c r="I13" s="19"/>
      <c r="J13" s="19">
        <v>0</v>
      </c>
      <c r="K13" s="19">
        <v>2</v>
      </c>
      <c r="L13" s="19"/>
      <c r="M13" s="21">
        <f t="shared" si="2"/>
        <v>0.33333333333333331</v>
      </c>
      <c r="N13" s="5">
        <f t="shared" si="2"/>
        <v>1.3333333333333333</v>
      </c>
    </row>
    <row r="14" spans="1:15" ht="15" x14ac:dyDescent="0.2">
      <c r="A14" s="4" t="s">
        <v>19</v>
      </c>
      <c r="B14" s="4">
        <v>2</v>
      </c>
      <c r="C14" s="14"/>
      <c r="D14" s="18">
        <v>0</v>
      </c>
      <c r="E14" s="18">
        <v>1</v>
      </c>
      <c r="F14" s="18"/>
      <c r="G14" s="18">
        <v>0</v>
      </c>
      <c r="H14" s="18">
        <v>1</v>
      </c>
      <c r="I14" s="19"/>
      <c r="J14" s="19">
        <v>0</v>
      </c>
      <c r="K14" s="19">
        <v>2</v>
      </c>
      <c r="L14" s="19"/>
      <c r="M14" s="21">
        <f t="shared" si="2"/>
        <v>0</v>
      </c>
      <c r="N14" s="5">
        <f t="shared" si="2"/>
        <v>1.3333333333333333</v>
      </c>
    </row>
    <row r="15" spans="1:15" ht="15" x14ac:dyDescent="0.2">
      <c r="A15" s="6" t="s">
        <v>20</v>
      </c>
      <c r="B15" s="4">
        <v>3</v>
      </c>
      <c r="C15" s="14" t="s">
        <v>21</v>
      </c>
      <c r="D15" s="18"/>
      <c r="E15" s="18"/>
      <c r="F15" s="18"/>
      <c r="G15" s="18"/>
      <c r="H15" s="18"/>
      <c r="I15" s="19"/>
      <c r="J15" s="19"/>
      <c r="K15" s="19"/>
      <c r="L15" s="19"/>
    </row>
    <row r="16" spans="1:15" ht="15" x14ac:dyDescent="0.2">
      <c r="A16" s="4" t="s">
        <v>22</v>
      </c>
      <c r="B16" s="4">
        <v>3</v>
      </c>
      <c r="C16" s="14"/>
      <c r="D16" s="18">
        <v>2</v>
      </c>
      <c r="E16" s="18">
        <v>2</v>
      </c>
      <c r="F16" s="18"/>
      <c r="G16" s="18">
        <v>1</v>
      </c>
      <c r="H16" s="18">
        <v>2</v>
      </c>
      <c r="I16" s="19"/>
      <c r="J16" s="19">
        <v>2</v>
      </c>
      <c r="K16" s="19">
        <v>2</v>
      </c>
      <c r="L16" s="19" t="s">
        <v>121</v>
      </c>
      <c r="M16" s="21">
        <f t="shared" si="2"/>
        <v>1.6666666666666667</v>
      </c>
      <c r="N16" s="5">
        <f t="shared" si="2"/>
        <v>2</v>
      </c>
    </row>
    <row r="17" spans="1:14" ht="15" x14ac:dyDescent="0.2">
      <c r="A17" s="6" t="s">
        <v>23</v>
      </c>
      <c r="B17" s="4">
        <v>2</v>
      </c>
      <c r="C17" s="14" t="s">
        <v>24</v>
      </c>
      <c r="D17" s="18"/>
      <c r="E17" s="18"/>
      <c r="F17" s="18"/>
      <c r="G17" s="18"/>
      <c r="H17" s="18"/>
      <c r="I17" s="19"/>
      <c r="J17" s="19"/>
      <c r="K17" s="19"/>
      <c r="L17" s="19"/>
    </row>
    <row r="18" spans="1:14" ht="15" x14ac:dyDescent="0.2">
      <c r="A18" s="4" t="s">
        <v>25</v>
      </c>
      <c r="B18" s="4">
        <v>2</v>
      </c>
      <c r="C18" s="14"/>
      <c r="D18" s="18">
        <v>1</v>
      </c>
      <c r="E18" s="18">
        <v>2</v>
      </c>
      <c r="F18" s="18"/>
      <c r="G18" s="18">
        <v>0</v>
      </c>
      <c r="H18" s="18">
        <v>2</v>
      </c>
      <c r="I18" s="19"/>
      <c r="J18" s="19">
        <v>0</v>
      </c>
      <c r="K18" s="19">
        <v>2</v>
      </c>
      <c r="L18" s="19"/>
      <c r="M18" s="21">
        <f t="shared" si="2"/>
        <v>0.33333333333333331</v>
      </c>
      <c r="N18" s="5">
        <f t="shared" si="2"/>
        <v>2</v>
      </c>
    </row>
    <row r="19" spans="1:14" ht="15" x14ac:dyDescent="0.2">
      <c r="A19" s="7" t="s">
        <v>26</v>
      </c>
      <c r="B19" s="8"/>
      <c r="C19" s="15" t="s">
        <v>27</v>
      </c>
      <c r="D19" s="18"/>
      <c r="E19" s="18"/>
      <c r="F19" s="18"/>
      <c r="G19" s="18"/>
      <c r="H19" s="18"/>
      <c r="I19" s="19"/>
      <c r="J19" s="19"/>
      <c r="K19" s="19"/>
      <c r="L19" s="19"/>
    </row>
    <row r="20" spans="1:14" ht="15" x14ac:dyDescent="0.2">
      <c r="A20" s="4" t="s">
        <v>28</v>
      </c>
      <c r="B20" s="4">
        <v>1</v>
      </c>
      <c r="C20" s="14"/>
      <c r="D20" s="18">
        <v>1</v>
      </c>
      <c r="E20" s="18">
        <v>1</v>
      </c>
      <c r="F20" s="18"/>
      <c r="G20" s="18">
        <v>0</v>
      </c>
      <c r="H20" s="18">
        <v>2</v>
      </c>
      <c r="I20" s="19"/>
      <c r="J20" s="19">
        <v>0</v>
      </c>
      <c r="K20" s="19">
        <v>2</v>
      </c>
      <c r="L20" s="19"/>
      <c r="M20" s="21">
        <f t="shared" si="2"/>
        <v>0.33333333333333331</v>
      </c>
      <c r="N20" s="5">
        <f t="shared" si="2"/>
        <v>1.6666666666666667</v>
      </c>
    </row>
    <row r="21" spans="1:14" ht="15" x14ac:dyDescent="0.2">
      <c r="A21" s="4" t="s">
        <v>29</v>
      </c>
      <c r="B21" s="4">
        <v>2</v>
      </c>
      <c r="C21" s="14"/>
      <c r="D21" s="18">
        <v>1</v>
      </c>
      <c r="E21" s="18">
        <v>2</v>
      </c>
      <c r="F21" s="18"/>
      <c r="G21" s="18">
        <v>1</v>
      </c>
      <c r="H21" s="18">
        <v>2</v>
      </c>
      <c r="I21" s="19"/>
      <c r="J21" s="19">
        <v>1</v>
      </c>
      <c r="K21" s="19">
        <v>1</v>
      </c>
      <c r="L21" s="19" t="s">
        <v>122</v>
      </c>
      <c r="M21" s="21">
        <f t="shared" si="2"/>
        <v>1</v>
      </c>
      <c r="N21" s="5">
        <f t="shared" si="2"/>
        <v>1.6666666666666667</v>
      </c>
    </row>
    <row r="22" spans="1:14" ht="15" x14ac:dyDescent="0.2">
      <c r="A22" s="4" t="s">
        <v>30</v>
      </c>
      <c r="B22" s="4">
        <v>1</v>
      </c>
      <c r="C22" s="14"/>
      <c r="D22" s="18">
        <v>2</v>
      </c>
      <c r="E22" s="18">
        <v>2</v>
      </c>
      <c r="F22" s="18"/>
      <c r="G22" s="18">
        <v>2</v>
      </c>
      <c r="H22" s="18">
        <v>2</v>
      </c>
      <c r="I22" s="19"/>
      <c r="J22" s="19">
        <v>2</v>
      </c>
      <c r="K22" s="19">
        <v>2</v>
      </c>
      <c r="L22" s="19" t="s">
        <v>123</v>
      </c>
      <c r="M22" s="21">
        <f t="shared" si="2"/>
        <v>2</v>
      </c>
      <c r="N22" s="5">
        <f t="shared" si="2"/>
        <v>2</v>
      </c>
    </row>
    <row r="23" spans="1:14" ht="15" x14ac:dyDescent="0.2">
      <c r="A23" s="4" t="s">
        <v>31</v>
      </c>
      <c r="B23" s="4">
        <v>2</v>
      </c>
      <c r="C23" s="14"/>
      <c r="D23" s="18">
        <v>1</v>
      </c>
      <c r="E23" s="18">
        <v>2</v>
      </c>
      <c r="F23" s="18"/>
      <c r="G23" s="18">
        <v>0</v>
      </c>
      <c r="H23" s="18">
        <v>2</v>
      </c>
      <c r="I23" s="19"/>
      <c r="J23" s="19">
        <v>0</v>
      </c>
      <c r="K23" s="19">
        <v>2</v>
      </c>
      <c r="L23" s="19"/>
      <c r="M23" s="21">
        <f t="shared" si="2"/>
        <v>0.33333333333333331</v>
      </c>
      <c r="N23" s="5">
        <f t="shared" si="2"/>
        <v>2</v>
      </c>
    </row>
    <row r="24" spans="1:14" ht="15" x14ac:dyDescent="0.2">
      <c r="A24" s="7" t="s">
        <v>32</v>
      </c>
      <c r="B24" s="8"/>
      <c r="C24" s="15" t="s">
        <v>33</v>
      </c>
      <c r="D24" s="18"/>
      <c r="E24" s="18"/>
      <c r="F24" s="18"/>
      <c r="G24" s="18"/>
      <c r="H24" s="18"/>
      <c r="I24" s="19"/>
      <c r="J24" s="19"/>
      <c r="K24" s="19"/>
      <c r="L24" s="19"/>
    </row>
    <row r="25" spans="1:14" ht="15" x14ac:dyDescent="0.2">
      <c r="A25" s="4" t="s">
        <v>34</v>
      </c>
      <c r="B25" s="4">
        <v>2</v>
      </c>
      <c r="C25" s="14"/>
      <c r="D25" s="18">
        <v>1</v>
      </c>
      <c r="E25" s="18">
        <v>2</v>
      </c>
      <c r="F25" s="18"/>
      <c r="G25" s="18">
        <v>2</v>
      </c>
      <c r="H25" s="18">
        <v>1</v>
      </c>
      <c r="I25" s="19"/>
      <c r="J25" s="19">
        <v>0</v>
      </c>
      <c r="K25" s="19">
        <v>2</v>
      </c>
      <c r="L25" s="19"/>
      <c r="M25" s="21">
        <f t="shared" si="2"/>
        <v>1</v>
      </c>
      <c r="N25" s="5">
        <f t="shared" si="2"/>
        <v>1.6666666666666667</v>
      </c>
    </row>
    <row r="26" spans="1:14" ht="15" x14ac:dyDescent="0.2">
      <c r="A26" s="4" t="s">
        <v>35</v>
      </c>
      <c r="B26" s="4">
        <v>2</v>
      </c>
      <c r="C26" s="14"/>
      <c r="D26" s="18">
        <v>1</v>
      </c>
      <c r="E26" s="18">
        <v>2</v>
      </c>
      <c r="F26" s="18"/>
      <c r="G26" s="18">
        <v>0</v>
      </c>
      <c r="H26" s="18">
        <v>2</v>
      </c>
      <c r="I26" s="19"/>
      <c r="J26" s="19">
        <v>0</v>
      </c>
      <c r="K26" s="19">
        <v>2</v>
      </c>
      <c r="L26" s="19"/>
      <c r="M26" s="21">
        <f t="shared" si="2"/>
        <v>0.33333333333333331</v>
      </c>
      <c r="N26" s="5">
        <f t="shared" si="2"/>
        <v>2</v>
      </c>
    </row>
    <row r="27" spans="1:14" ht="15" x14ac:dyDescent="0.2">
      <c r="A27" s="4" t="s">
        <v>36</v>
      </c>
      <c r="B27" s="4">
        <v>2</v>
      </c>
      <c r="C27" s="14"/>
      <c r="D27" s="18">
        <v>1</v>
      </c>
      <c r="E27" s="18">
        <v>2</v>
      </c>
      <c r="F27" s="18"/>
      <c r="G27" s="18">
        <v>0</v>
      </c>
      <c r="H27" s="18">
        <v>2</v>
      </c>
      <c r="I27" s="19"/>
      <c r="J27" s="19">
        <v>0</v>
      </c>
      <c r="K27" s="19">
        <v>2</v>
      </c>
      <c r="L27" s="19"/>
      <c r="M27" s="21">
        <f t="shared" si="2"/>
        <v>0.33333333333333331</v>
      </c>
      <c r="N27" s="5">
        <f t="shared" si="2"/>
        <v>2</v>
      </c>
    </row>
    <row r="28" spans="1:14" ht="15" x14ac:dyDescent="0.2">
      <c r="A28" s="4" t="s">
        <v>37</v>
      </c>
      <c r="B28" s="9">
        <v>1</v>
      </c>
      <c r="C28" s="14"/>
      <c r="D28" s="18">
        <v>1</v>
      </c>
      <c r="E28" s="18">
        <v>2</v>
      </c>
      <c r="F28" s="18"/>
      <c r="G28" s="18">
        <v>2</v>
      </c>
      <c r="H28" s="18">
        <v>2</v>
      </c>
      <c r="I28" s="19"/>
      <c r="J28" s="19">
        <v>2</v>
      </c>
      <c r="K28" s="19">
        <v>2</v>
      </c>
      <c r="L28" s="19" t="s">
        <v>123</v>
      </c>
      <c r="M28" s="21">
        <f t="shared" si="2"/>
        <v>1.6666666666666667</v>
      </c>
      <c r="N28" s="5">
        <f t="shared" si="2"/>
        <v>2</v>
      </c>
    </row>
    <row r="29" spans="1:14" ht="21" customHeight="1" x14ac:dyDescent="0.2">
      <c r="A29" s="4" t="s">
        <v>30</v>
      </c>
      <c r="B29" s="9">
        <v>1</v>
      </c>
      <c r="C29" s="14"/>
      <c r="D29" s="18">
        <v>2</v>
      </c>
      <c r="E29" s="18">
        <v>2</v>
      </c>
      <c r="F29" s="18"/>
      <c r="G29" s="18">
        <v>2</v>
      </c>
      <c r="H29" s="18">
        <v>2</v>
      </c>
      <c r="I29" s="19"/>
      <c r="J29" s="19">
        <v>2</v>
      </c>
      <c r="K29" s="19">
        <v>2</v>
      </c>
      <c r="L29" s="19" t="s">
        <v>123</v>
      </c>
      <c r="M29" s="21">
        <f t="shared" si="2"/>
        <v>2</v>
      </c>
      <c r="N29" s="5">
        <f t="shared" si="2"/>
        <v>2</v>
      </c>
    </row>
    <row r="30" spans="1:14" ht="21" customHeight="1" x14ac:dyDescent="0.25">
      <c r="A30" s="2" t="s">
        <v>152</v>
      </c>
      <c r="G30" s="18"/>
      <c r="H30" s="18"/>
      <c r="I30" s="19"/>
    </row>
    <row r="31" spans="1:14" ht="13.5" customHeight="1" x14ac:dyDescent="0.2">
      <c r="A31" s="1" t="s">
        <v>0</v>
      </c>
      <c r="B31" s="1" t="s">
        <v>1</v>
      </c>
      <c r="C31" s="13" t="s">
        <v>2</v>
      </c>
      <c r="D31" s="18" t="s">
        <v>3</v>
      </c>
      <c r="E31" s="18" t="s">
        <v>4</v>
      </c>
      <c r="F31" s="18" t="s">
        <v>5</v>
      </c>
      <c r="G31" s="18" t="s">
        <v>105</v>
      </c>
      <c r="H31" s="18" t="s">
        <v>106</v>
      </c>
      <c r="I31" s="19" t="s">
        <v>107</v>
      </c>
      <c r="J31" s="19" t="s">
        <v>116</v>
      </c>
      <c r="K31" s="19" t="s">
        <v>117</v>
      </c>
      <c r="L31" s="19" t="s">
        <v>118</v>
      </c>
    </row>
    <row r="32" spans="1:14" ht="13.5" customHeight="1" x14ac:dyDescent="0.2">
      <c r="A32" s="3" t="s">
        <v>6</v>
      </c>
      <c r="B32" s="1">
        <v>3</v>
      </c>
      <c r="C32" s="12" t="s">
        <v>38</v>
      </c>
      <c r="D32" s="18"/>
      <c r="E32" s="18"/>
      <c r="F32" s="18"/>
      <c r="G32" s="18"/>
      <c r="H32" s="18"/>
      <c r="I32" s="19"/>
      <c r="J32" s="19"/>
      <c r="K32" s="19"/>
      <c r="L32" s="19"/>
    </row>
    <row r="33" spans="1:14" ht="13.5" customHeight="1" x14ac:dyDescent="0.2">
      <c r="A33" s="4" t="s">
        <v>8</v>
      </c>
      <c r="B33" s="4">
        <v>2</v>
      </c>
      <c r="C33" s="14"/>
      <c r="D33" s="18">
        <v>2</v>
      </c>
      <c r="E33" s="18">
        <v>1</v>
      </c>
      <c r="F33" s="18"/>
      <c r="G33" s="18">
        <v>0</v>
      </c>
      <c r="H33" s="18">
        <v>1</v>
      </c>
      <c r="I33" s="19"/>
      <c r="J33" s="19">
        <v>1</v>
      </c>
      <c r="K33" s="19">
        <v>1</v>
      </c>
      <c r="L33" s="19" t="s">
        <v>124</v>
      </c>
      <c r="M33" s="21">
        <f t="shared" ref="M33:N36" si="3">AVERAGE(D33,G33,J33)</f>
        <v>1</v>
      </c>
      <c r="N33" s="5">
        <f t="shared" si="3"/>
        <v>1</v>
      </c>
    </row>
    <row r="34" spans="1:14" ht="13.5" customHeight="1" x14ac:dyDescent="0.2">
      <c r="A34" s="4" t="s">
        <v>9</v>
      </c>
      <c r="B34" s="4">
        <v>2</v>
      </c>
      <c r="C34" s="14"/>
      <c r="D34" s="18">
        <v>0</v>
      </c>
      <c r="E34" s="18">
        <v>2</v>
      </c>
      <c r="F34" s="18"/>
      <c r="G34" s="18">
        <v>1</v>
      </c>
      <c r="H34" s="18">
        <v>2</v>
      </c>
      <c r="I34" s="19"/>
      <c r="J34" s="19">
        <v>0</v>
      </c>
      <c r="K34" s="19">
        <v>2</v>
      </c>
      <c r="L34" s="19"/>
      <c r="M34" s="21">
        <f t="shared" si="3"/>
        <v>0.33333333333333331</v>
      </c>
      <c r="N34" s="5">
        <f t="shared" si="3"/>
        <v>2</v>
      </c>
    </row>
    <row r="35" spans="1:14" ht="13.5" customHeight="1" x14ac:dyDescent="0.2">
      <c r="A35" s="4" t="s">
        <v>10</v>
      </c>
      <c r="B35" s="4">
        <v>3</v>
      </c>
      <c r="C35" s="14"/>
      <c r="D35" s="18">
        <v>2</v>
      </c>
      <c r="E35" s="18">
        <v>1</v>
      </c>
      <c r="F35" s="18"/>
      <c r="G35" s="18">
        <v>1</v>
      </c>
      <c r="H35" s="18">
        <v>1</v>
      </c>
      <c r="I35" s="19"/>
      <c r="J35" s="19">
        <v>1</v>
      </c>
      <c r="K35" s="19">
        <v>2</v>
      </c>
      <c r="L35" s="19" t="s">
        <v>124</v>
      </c>
      <c r="M35" s="21">
        <f t="shared" si="3"/>
        <v>1.3333333333333333</v>
      </c>
      <c r="N35" s="5">
        <f t="shared" si="3"/>
        <v>1.3333333333333333</v>
      </c>
    </row>
    <row r="36" spans="1:14" ht="13.5" customHeight="1" x14ac:dyDescent="0.2">
      <c r="A36" s="4" t="s">
        <v>11</v>
      </c>
      <c r="B36" s="4">
        <v>3</v>
      </c>
      <c r="C36" s="14"/>
      <c r="D36" s="18">
        <v>2</v>
      </c>
      <c r="E36" s="18">
        <v>1</v>
      </c>
      <c r="F36" s="18"/>
      <c r="G36" s="18">
        <v>2</v>
      </c>
      <c r="H36" s="18">
        <v>2</v>
      </c>
      <c r="I36" s="19"/>
      <c r="J36" s="19">
        <v>1</v>
      </c>
      <c r="K36" s="19">
        <v>1</v>
      </c>
      <c r="L36" s="19" t="s">
        <v>125</v>
      </c>
      <c r="M36" s="21">
        <f t="shared" si="3"/>
        <v>1.6666666666666667</v>
      </c>
      <c r="N36" s="5">
        <f t="shared" si="3"/>
        <v>1.3333333333333333</v>
      </c>
    </row>
    <row r="37" spans="1:14" ht="13.5" customHeight="1" x14ac:dyDescent="0.2">
      <c r="A37" s="4" t="s">
        <v>12</v>
      </c>
      <c r="B37" s="4">
        <v>1</v>
      </c>
      <c r="C37" s="14"/>
      <c r="D37" s="18"/>
      <c r="E37" s="18"/>
      <c r="F37" s="18" t="s">
        <v>13</v>
      </c>
      <c r="G37" s="18"/>
      <c r="H37" s="18"/>
      <c r="I37" s="19" t="s">
        <v>13</v>
      </c>
      <c r="J37" s="19"/>
      <c r="K37" s="19"/>
      <c r="L37" s="19" t="s">
        <v>13</v>
      </c>
      <c r="M37" s="19" t="s">
        <v>13</v>
      </c>
    </row>
    <row r="38" spans="1:14" ht="13.5" customHeight="1" x14ac:dyDescent="0.2">
      <c r="A38" s="4" t="s">
        <v>14</v>
      </c>
      <c r="B38" s="4">
        <v>2</v>
      </c>
      <c r="C38" s="14"/>
      <c r="D38" s="18">
        <v>2</v>
      </c>
      <c r="E38" s="18">
        <v>1</v>
      </c>
      <c r="F38" s="18"/>
      <c r="G38" s="18">
        <v>2</v>
      </c>
      <c r="H38" s="18">
        <v>1</v>
      </c>
      <c r="I38" s="19"/>
      <c r="J38" s="19"/>
      <c r="K38" s="19"/>
      <c r="L38" s="19" t="s">
        <v>13</v>
      </c>
      <c r="M38" s="19" t="s">
        <v>13</v>
      </c>
    </row>
    <row r="39" spans="1:14" ht="13.5" customHeight="1" x14ac:dyDescent="0.2">
      <c r="A39" s="4" t="s">
        <v>15</v>
      </c>
      <c r="B39" s="4">
        <v>1</v>
      </c>
      <c r="C39" s="14"/>
      <c r="D39" s="18"/>
      <c r="E39" s="18"/>
      <c r="F39" s="18" t="s">
        <v>13</v>
      </c>
      <c r="G39" s="18">
        <v>1</v>
      </c>
      <c r="H39" s="18">
        <v>1</v>
      </c>
      <c r="I39" s="19"/>
      <c r="J39" s="19"/>
      <c r="K39" s="19"/>
      <c r="L39" s="19" t="s">
        <v>13</v>
      </c>
      <c r="M39" s="19" t="s">
        <v>13</v>
      </c>
    </row>
    <row r="40" spans="1:14" ht="13.5" customHeight="1" x14ac:dyDescent="0.2">
      <c r="A40" s="4" t="s">
        <v>16</v>
      </c>
      <c r="B40" s="4">
        <v>3</v>
      </c>
      <c r="C40" s="14"/>
      <c r="D40" s="18">
        <v>2</v>
      </c>
      <c r="E40" s="18">
        <v>1</v>
      </c>
      <c r="F40" s="18"/>
      <c r="G40" s="18">
        <v>2</v>
      </c>
      <c r="H40" s="18">
        <v>2</v>
      </c>
      <c r="I40" s="19"/>
      <c r="J40" s="19">
        <v>2</v>
      </c>
      <c r="K40" s="19">
        <v>2</v>
      </c>
      <c r="L40" s="19"/>
      <c r="M40" s="21">
        <f t="shared" ref="M40:N58" si="4">AVERAGE(D40,G40,J40)</f>
        <v>2</v>
      </c>
      <c r="N40" s="5">
        <f t="shared" si="4"/>
        <v>1.6666666666666667</v>
      </c>
    </row>
    <row r="41" spans="1:14" ht="13.5" customHeight="1" x14ac:dyDescent="0.2">
      <c r="A41" s="4" t="s">
        <v>17</v>
      </c>
      <c r="B41" s="4">
        <v>1</v>
      </c>
      <c r="C41" s="14"/>
      <c r="D41" s="18">
        <v>2</v>
      </c>
      <c r="E41" s="18">
        <v>2</v>
      </c>
      <c r="F41" s="18"/>
      <c r="G41" s="18">
        <v>2</v>
      </c>
      <c r="H41" s="18">
        <v>2</v>
      </c>
      <c r="I41" s="19"/>
      <c r="J41" s="19">
        <v>2</v>
      </c>
      <c r="K41" s="19">
        <v>2</v>
      </c>
      <c r="L41" s="19" t="s">
        <v>126</v>
      </c>
      <c r="M41" s="21">
        <f t="shared" si="4"/>
        <v>2</v>
      </c>
      <c r="N41" s="5">
        <f t="shared" si="4"/>
        <v>2</v>
      </c>
    </row>
    <row r="42" spans="1:14" ht="13.5" customHeight="1" x14ac:dyDescent="0.2">
      <c r="A42" s="4" t="s">
        <v>18</v>
      </c>
      <c r="B42" s="4">
        <v>2</v>
      </c>
      <c r="C42" s="14"/>
      <c r="D42" s="18">
        <v>2</v>
      </c>
      <c r="E42" s="18">
        <v>1</v>
      </c>
      <c r="F42" s="18"/>
      <c r="G42" s="18">
        <v>2</v>
      </c>
      <c r="H42" s="18">
        <v>2</v>
      </c>
      <c r="I42" s="19" t="s">
        <v>108</v>
      </c>
      <c r="J42" s="19">
        <v>0</v>
      </c>
      <c r="K42" s="19">
        <v>1</v>
      </c>
      <c r="L42" s="19"/>
      <c r="M42" s="21">
        <f t="shared" si="4"/>
        <v>1.3333333333333333</v>
      </c>
      <c r="N42" s="5">
        <f t="shared" si="4"/>
        <v>1.3333333333333333</v>
      </c>
    </row>
    <row r="43" spans="1:14" ht="13.5" customHeight="1" x14ac:dyDescent="0.2">
      <c r="A43" s="4" t="s">
        <v>19</v>
      </c>
      <c r="B43" s="4">
        <v>2</v>
      </c>
      <c r="C43" s="14"/>
      <c r="D43" s="18"/>
      <c r="E43" s="18"/>
      <c r="F43" s="18" t="s">
        <v>13</v>
      </c>
      <c r="G43" s="18">
        <v>2</v>
      </c>
      <c r="H43" s="18">
        <v>1</v>
      </c>
      <c r="I43" s="19"/>
      <c r="J43" s="19">
        <v>1</v>
      </c>
      <c r="K43" s="19">
        <v>1</v>
      </c>
      <c r="L43" s="19"/>
      <c r="M43" s="21">
        <f t="shared" si="4"/>
        <v>1.5</v>
      </c>
      <c r="N43" s="5">
        <f t="shared" si="4"/>
        <v>1</v>
      </c>
    </row>
    <row r="44" spans="1:14" ht="13.5" customHeight="1" x14ac:dyDescent="0.2">
      <c r="A44" s="6" t="s">
        <v>20</v>
      </c>
      <c r="B44" s="4">
        <v>3</v>
      </c>
      <c r="C44" s="14" t="s">
        <v>39</v>
      </c>
      <c r="D44" s="18"/>
      <c r="E44" s="18"/>
      <c r="F44" s="18"/>
      <c r="G44" s="18"/>
      <c r="H44" s="18"/>
      <c r="I44" s="19"/>
      <c r="J44" s="19"/>
      <c r="K44" s="19"/>
      <c r="L44" s="19"/>
    </row>
    <row r="45" spans="1:14" ht="13.5" customHeight="1" x14ac:dyDescent="0.2">
      <c r="A45" s="4" t="s">
        <v>22</v>
      </c>
      <c r="B45" s="4">
        <v>3</v>
      </c>
      <c r="C45" s="14"/>
      <c r="D45" s="18">
        <v>2</v>
      </c>
      <c r="E45" s="18">
        <v>2</v>
      </c>
      <c r="F45" s="18"/>
      <c r="G45" s="18">
        <v>1</v>
      </c>
      <c r="H45" s="18">
        <v>2</v>
      </c>
      <c r="I45" s="19"/>
      <c r="J45" s="19">
        <v>1</v>
      </c>
      <c r="K45" s="19">
        <v>1</v>
      </c>
      <c r="L45" s="19" t="s">
        <v>127</v>
      </c>
      <c r="M45" s="21">
        <f t="shared" si="4"/>
        <v>1.3333333333333333</v>
      </c>
      <c r="N45" s="5">
        <f t="shared" si="4"/>
        <v>1.6666666666666667</v>
      </c>
    </row>
    <row r="46" spans="1:14" ht="13.5" customHeight="1" x14ac:dyDescent="0.2">
      <c r="A46" s="6" t="s">
        <v>23</v>
      </c>
      <c r="B46" s="4">
        <v>2</v>
      </c>
      <c r="C46" s="14" t="s">
        <v>40</v>
      </c>
      <c r="D46" s="18"/>
      <c r="E46" s="18"/>
      <c r="F46" s="18"/>
      <c r="G46" s="18"/>
      <c r="H46" s="18"/>
      <c r="I46" s="19"/>
      <c r="J46" s="19"/>
      <c r="K46" s="19"/>
      <c r="L46" s="19"/>
    </row>
    <row r="47" spans="1:14" ht="13.5" customHeight="1" x14ac:dyDescent="0.2">
      <c r="A47" s="4" t="s">
        <v>25</v>
      </c>
      <c r="B47" s="4">
        <v>2</v>
      </c>
      <c r="C47" s="14"/>
      <c r="D47" s="18">
        <v>1</v>
      </c>
      <c r="E47" s="18">
        <v>2</v>
      </c>
      <c r="F47" s="18"/>
      <c r="G47" s="18">
        <v>1</v>
      </c>
      <c r="H47" s="18">
        <v>2</v>
      </c>
      <c r="I47" s="19"/>
      <c r="J47" s="19">
        <v>0</v>
      </c>
      <c r="K47" s="19">
        <v>2</v>
      </c>
      <c r="L47" s="19"/>
      <c r="M47" s="21">
        <f t="shared" si="4"/>
        <v>0.66666666666666663</v>
      </c>
      <c r="N47" s="5">
        <f t="shared" si="4"/>
        <v>2</v>
      </c>
    </row>
    <row r="48" spans="1:14" ht="13.5" customHeight="1" x14ac:dyDescent="0.2">
      <c r="A48" s="7" t="s">
        <v>26</v>
      </c>
      <c r="B48" s="8"/>
      <c r="C48" s="15" t="s">
        <v>41</v>
      </c>
      <c r="D48" s="18"/>
      <c r="E48" s="18"/>
      <c r="F48" s="18"/>
      <c r="G48" s="18"/>
      <c r="H48" s="18"/>
      <c r="I48" s="19"/>
      <c r="J48" s="19"/>
      <c r="K48" s="19"/>
      <c r="L48" s="19"/>
    </row>
    <row r="49" spans="1:14" ht="13.5" customHeight="1" x14ac:dyDescent="0.2">
      <c r="A49" s="4" t="s">
        <v>28</v>
      </c>
      <c r="B49" s="4">
        <v>1</v>
      </c>
      <c r="C49" s="14"/>
      <c r="D49" s="18">
        <v>0</v>
      </c>
      <c r="E49" s="18">
        <v>1</v>
      </c>
      <c r="F49" s="18"/>
      <c r="G49" s="18">
        <v>0</v>
      </c>
      <c r="H49" s="18">
        <v>2</v>
      </c>
      <c r="I49" s="19"/>
      <c r="J49" s="19">
        <v>0</v>
      </c>
      <c r="K49" s="19">
        <v>2</v>
      </c>
      <c r="L49" s="19"/>
      <c r="M49" s="21">
        <f t="shared" si="4"/>
        <v>0</v>
      </c>
      <c r="N49" s="5">
        <f t="shared" si="4"/>
        <v>1.6666666666666667</v>
      </c>
    </row>
    <row r="50" spans="1:14" ht="13.5" customHeight="1" x14ac:dyDescent="0.2">
      <c r="A50" s="4" t="s">
        <v>29</v>
      </c>
      <c r="B50" s="4">
        <v>2</v>
      </c>
      <c r="C50" s="14"/>
      <c r="D50" s="18">
        <v>2</v>
      </c>
      <c r="E50" s="18">
        <v>1</v>
      </c>
      <c r="F50" s="18"/>
      <c r="G50" s="18">
        <v>1</v>
      </c>
      <c r="H50" s="18">
        <v>2</v>
      </c>
      <c r="I50" s="19"/>
      <c r="J50" s="19">
        <v>1</v>
      </c>
      <c r="K50" s="19">
        <v>1</v>
      </c>
      <c r="L50" s="19" t="s">
        <v>128</v>
      </c>
      <c r="M50" s="21">
        <f t="shared" si="4"/>
        <v>1.3333333333333333</v>
      </c>
      <c r="N50" s="5">
        <f t="shared" si="4"/>
        <v>1.3333333333333333</v>
      </c>
    </row>
    <row r="51" spans="1:14" ht="13.5" customHeight="1" x14ac:dyDescent="0.2">
      <c r="A51" s="4" t="s">
        <v>30</v>
      </c>
      <c r="B51" s="4">
        <v>1</v>
      </c>
      <c r="C51" s="14"/>
      <c r="D51" s="18">
        <v>2</v>
      </c>
      <c r="E51" s="18">
        <v>2</v>
      </c>
      <c r="F51" s="18"/>
      <c r="G51" s="18">
        <v>2</v>
      </c>
      <c r="H51" s="18">
        <v>2</v>
      </c>
      <c r="I51" s="19"/>
      <c r="J51" s="19">
        <v>2</v>
      </c>
      <c r="K51" s="19">
        <v>2</v>
      </c>
      <c r="L51" s="19" t="s">
        <v>129</v>
      </c>
      <c r="M51" s="21">
        <f t="shared" si="4"/>
        <v>2</v>
      </c>
      <c r="N51" s="5">
        <f t="shared" si="4"/>
        <v>2</v>
      </c>
    </row>
    <row r="52" spans="1:14" ht="13.5" customHeight="1" x14ac:dyDescent="0.2">
      <c r="A52" s="4" t="s">
        <v>31</v>
      </c>
      <c r="B52" s="4">
        <v>2</v>
      </c>
      <c r="C52" s="14"/>
      <c r="D52" s="18">
        <v>0</v>
      </c>
      <c r="E52" s="18">
        <v>2</v>
      </c>
      <c r="F52" s="18"/>
      <c r="G52" s="18">
        <v>2</v>
      </c>
      <c r="H52" s="18">
        <v>2</v>
      </c>
      <c r="I52" s="19"/>
      <c r="J52" s="19">
        <v>0</v>
      </c>
      <c r="K52" s="19">
        <v>2</v>
      </c>
      <c r="L52" s="19"/>
      <c r="M52" s="21">
        <f t="shared" si="4"/>
        <v>0.66666666666666663</v>
      </c>
      <c r="N52" s="5">
        <f t="shared" si="4"/>
        <v>2</v>
      </c>
    </row>
    <row r="53" spans="1:14" ht="13.5" customHeight="1" x14ac:dyDescent="0.2">
      <c r="A53" s="7" t="s">
        <v>32</v>
      </c>
      <c r="B53" s="8"/>
      <c r="C53" s="15" t="s">
        <v>42</v>
      </c>
      <c r="D53" s="18"/>
      <c r="E53" s="18"/>
      <c r="F53" s="18"/>
      <c r="G53" s="18"/>
      <c r="H53" s="18"/>
      <c r="I53" s="19"/>
      <c r="J53" s="19"/>
      <c r="K53" s="19"/>
      <c r="L53" s="19"/>
    </row>
    <row r="54" spans="1:14" ht="13.5" customHeight="1" x14ac:dyDescent="0.2">
      <c r="A54" s="4" t="s">
        <v>34</v>
      </c>
      <c r="B54" s="4">
        <v>2</v>
      </c>
      <c r="C54" s="14"/>
      <c r="D54" s="18">
        <v>1</v>
      </c>
      <c r="E54" s="18">
        <v>2</v>
      </c>
      <c r="F54" s="18"/>
      <c r="G54" s="18">
        <v>1</v>
      </c>
      <c r="H54" s="18">
        <v>1</v>
      </c>
      <c r="I54" s="19"/>
      <c r="J54" s="19">
        <v>0</v>
      </c>
      <c r="K54" s="19">
        <v>2</v>
      </c>
      <c r="L54" s="19"/>
      <c r="M54" s="21">
        <f t="shared" si="4"/>
        <v>0.66666666666666663</v>
      </c>
      <c r="N54" s="5">
        <f t="shared" si="4"/>
        <v>1.6666666666666667</v>
      </c>
    </row>
    <row r="55" spans="1:14" ht="13.5" customHeight="1" x14ac:dyDescent="0.2">
      <c r="A55" s="4" t="s">
        <v>35</v>
      </c>
      <c r="B55" s="4">
        <v>2</v>
      </c>
      <c r="C55" s="14"/>
      <c r="D55" s="18">
        <v>2</v>
      </c>
      <c r="E55" s="18">
        <v>2</v>
      </c>
      <c r="F55" s="18"/>
      <c r="G55" s="18">
        <v>1</v>
      </c>
      <c r="H55" s="18">
        <v>2</v>
      </c>
      <c r="I55" s="19"/>
      <c r="J55" s="19">
        <v>2</v>
      </c>
      <c r="K55" s="19">
        <v>2</v>
      </c>
      <c r="L55" s="19" t="s">
        <v>130</v>
      </c>
      <c r="M55" s="21">
        <f t="shared" si="4"/>
        <v>1.6666666666666667</v>
      </c>
      <c r="N55" s="5">
        <f t="shared" si="4"/>
        <v>2</v>
      </c>
    </row>
    <row r="56" spans="1:14" ht="13.5" customHeight="1" x14ac:dyDescent="0.2">
      <c r="A56" s="4" t="s">
        <v>36</v>
      </c>
      <c r="B56" s="4">
        <v>2</v>
      </c>
      <c r="C56" s="14"/>
      <c r="D56" s="18">
        <v>2</v>
      </c>
      <c r="E56" s="18">
        <v>2</v>
      </c>
      <c r="F56" s="18"/>
      <c r="G56" s="18">
        <v>1</v>
      </c>
      <c r="H56" s="18">
        <v>2</v>
      </c>
      <c r="I56" s="19"/>
      <c r="J56" s="19">
        <v>2</v>
      </c>
      <c r="K56" s="19">
        <v>2</v>
      </c>
      <c r="L56" s="19" t="s">
        <v>130</v>
      </c>
      <c r="M56" s="21">
        <f t="shared" si="4"/>
        <v>1.6666666666666667</v>
      </c>
      <c r="N56" s="5">
        <f t="shared" si="4"/>
        <v>2</v>
      </c>
    </row>
    <row r="57" spans="1:14" ht="13.5" customHeight="1" x14ac:dyDescent="0.2">
      <c r="A57" s="4" t="s">
        <v>37</v>
      </c>
      <c r="B57" s="9">
        <v>1</v>
      </c>
      <c r="C57" s="14"/>
      <c r="D57" s="18">
        <v>2</v>
      </c>
      <c r="E57" s="18">
        <v>2</v>
      </c>
      <c r="F57" s="18"/>
      <c r="G57" s="18">
        <v>2</v>
      </c>
      <c r="H57" s="18">
        <v>2</v>
      </c>
      <c r="I57" s="19"/>
      <c r="J57" s="19">
        <v>2</v>
      </c>
      <c r="K57" s="19">
        <v>2</v>
      </c>
      <c r="L57" s="19" t="s">
        <v>126</v>
      </c>
      <c r="M57" s="21">
        <f t="shared" si="4"/>
        <v>2</v>
      </c>
      <c r="N57" s="5">
        <f t="shared" si="4"/>
        <v>2</v>
      </c>
    </row>
    <row r="58" spans="1:14" ht="13.5" customHeight="1" x14ac:dyDescent="0.2">
      <c r="A58" s="4" t="s">
        <v>30</v>
      </c>
      <c r="B58" s="9">
        <v>1</v>
      </c>
      <c r="C58" s="14"/>
      <c r="D58" s="18">
        <v>2</v>
      </c>
      <c r="E58" s="18">
        <v>2</v>
      </c>
      <c r="F58" s="18"/>
      <c r="G58" s="18">
        <v>2</v>
      </c>
      <c r="H58" s="18">
        <v>2</v>
      </c>
      <c r="I58" s="19"/>
      <c r="J58" s="19">
        <v>2</v>
      </c>
      <c r="K58" s="19">
        <v>2</v>
      </c>
      <c r="L58" s="19" t="s">
        <v>126</v>
      </c>
      <c r="M58" s="21">
        <f t="shared" si="4"/>
        <v>2</v>
      </c>
      <c r="N58" s="5">
        <f t="shared" si="4"/>
        <v>2</v>
      </c>
    </row>
    <row r="59" spans="1:14" ht="15" customHeight="1" x14ac:dyDescent="0.25">
      <c r="A59" s="2" t="s">
        <v>153</v>
      </c>
      <c r="G59" s="18"/>
      <c r="H59" s="18"/>
      <c r="I59" s="19"/>
    </row>
    <row r="60" spans="1:14" ht="13.5" customHeight="1" x14ac:dyDescent="0.2">
      <c r="A60" s="1" t="s">
        <v>0</v>
      </c>
      <c r="B60" s="1" t="s">
        <v>1</v>
      </c>
      <c r="C60" s="13" t="s">
        <v>2</v>
      </c>
      <c r="D60" s="18" t="s">
        <v>3</v>
      </c>
      <c r="E60" s="18" t="s">
        <v>4</v>
      </c>
      <c r="F60" s="18" t="s">
        <v>5</v>
      </c>
      <c r="G60" s="18" t="s">
        <v>105</v>
      </c>
      <c r="H60" s="18" t="s">
        <v>106</v>
      </c>
      <c r="I60" s="19" t="s">
        <v>107</v>
      </c>
      <c r="J60" s="19" t="s">
        <v>116</v>
      </c>
      <c r="K60" s="19" t="s">
        <v>117</v>
      </c>
      <c r="L60" s="19" t="s">
        <v>118</v>
      </c>
    </row>
    <row r="61" spans="1:14" ht="13.5" customHeight="1" x14ac:dyDescent="0.2">
      <c r="A61" s="3" t="s">
        <v>6</v>
      </c>
      <c r="B61" s="1">
        <v>3</v>
      </c>
      <c r="C61" s="12" t="s">
        <v>43</v>
      </c>
      <c r="D61" s="18"/>
      <c r="E61" s="18"/>
      <c r="F61" s="18"/>
      <c r="G61" s="18"/>
      <c r="H61" s="18"/>
      <c r="I61" s="19"/>
      <c r="J61" s="19"/>
      <c r="K61" s="19"/>
      <c r="L61" s="19"/>
    </row>
    <row r="62" spans="1:14" ht="13.5" customHeight="1" x14ac:dyDescent="0.2">
      <c r="A62" s="4" t="s">
        <v>8</v>
      </c>
      <c r="B62" s="4">
        <v>2</v>
      </c>
      <c r="C62" s="14"/>
      <c r="D62" s="18">
        <v>1</v>
      </c>
      <c r="E62" s="18">
        <v>1</v>
      </c>
      <c r="F62" s="18"/>
      <c r="G62" s="18">
        <v>1</v>
      </c>
      <c r="H62" s="18">
        <v>1</v>
      </c>
      <c r="I62" s="19"/>
      <c r="J62" s="19">
        <v>0</v>
      </c>
      <c r="K62" s="19">
        <v>2</v>
      </c>
      <c r="L62" s="19"/>
      <c r="M62" s="21">
        <f t="shared" ref="M62:N65" si="5">AVERAGE(D62,G62,J62)</f>
        <v>0.66666666666666663</v>
      </c>
      <c r="N62" s="5">
        <f t="shared" si="5"/>
        <v>1.3333333333333333</v>
      </c>
    </row>
    <row r="63" spans="1:14" ht="13.5" customHeight="1" x14ac:dyDescent="0.2">
      <c r="A63" s="4" t="s">
        <v>9</v>
      </c>
      <c r="B63" s="4">
        <v>2</v>
      </c>
      <c r="C63" s="14"/>
      <c r="D63" s="18">
        <v>0</v>
      </c>
      <c r="E63" s="18">
        <v>2</v>
      </c>
      <c r="F63" s="18"/>
      <c r="G63" s="18">
        <v>0</v>
      </c>
      <c r="H63" s="18">
        <v>2</v>
      </c>
      <c r="I63" s="19"/>
      <c r="J63" s="19">
        <v>0</v>
      </c>
      <c r="K63" s="19">
        <v>2</v>
      </c>
      <c r="L63" s="19"/>
      <c r="M63" s="21">
        <f t="shared" si="5"/>
        <v>0</v>
      </c>
      <c r="N63" s="5">
        <f t="shared" si="5"/>
        <v>2</v>
      </c>
    </row>
    <row r="64" spans="1:14" ht="13.5" customHeight="1" x14ac:dyDescent="0.2">
      <c r="A64" s="4" t="s">
        <v>10</v>
      </c>
      <c r="B64" s="4">
        <v>3</v>
      </c>
      <c r="C64" s="14"/>
      <c r="D64" s="18">
        <v>1</v>
      </c>
      <c r="E64" s="18">
        <v>1</v>
      </c>
      <c r="F64" s="18"/>
      <c r="G64" s="18">
        <v>0</v>
      </c>
      <c r="H64" s="18">
        <v>1</v>
      </c>
      <c r="I64" s="19"/>
      <c r="J64" s="19">
        <v>0</v>
      </c>
      <c r="K64" s="19">
        <v>2</v>
      </c>
      <c r="L64" s="19"/>
      <c r="M64" s="21">
        <f t="shared" si="5"/>
        <v>0.33333333333333331</v>
      </c>
      <c r="N64" s="5">
        <f t="shared" si="5"/>
        <v>1.3333333333333333</v>
      </c>
    </row>
    <row r="65" spans="1:14" ht="13.5" customHeight="1" x14ac:dyDescent="0.2">
      <c r="A65" s="4" t="s">
        <v>11</v>
      </c>
      <c r="B65" s="4">
        <v>3</v>
      </c>
      <c r="C65" s="14"/>
      <c r="D65" s="18">
        <v>2</v>
      </c>
      <c r="E65" s="18">
        <v>2</v>
      </c>
      <c r="F65" s="18"/>
      <c r="G65" s="18">
        <v>2</v>
      </c>
      <c r="H65" s="18">
        <v>2</v>
      </c>
      <c r="I65" s="19"/>
      <c r="J65" s="19">
        <v>2</v>
      </c>
      <c r="K65" s="19">
        <v>2</v>
      </c>
      <c r="L65" s="19"/>
      <c r="M65" s="21">
        <f t="shared" si="5"/>
        <v>2</v>
      </c>
      <c r="N65" s="5">
        <f t="shared" si="5"/>
        <v>2</v>
      </c>
    </row>
    <row r="66" spans="1:14" ht="13.5" customHeight="1" x14ac:dyDescent="0.2">
      <c r="A66" s="4" t="s">
        <v>12</v>
      </c>
      <c r="B66" s="4">
        <v>1</v>
      </c>
      <c r="C66" s="14"/>
      <c r="D66" s="18"/>
      <c r="E66" s="18"/>
      <c r="F66" s="18" t="s">
        <v>13</v>
      </c>
      <c r="G66" s="18"/>
      <c r="H66" s="18"/>
      <c r="I66" s="19" t="s">
        <v>13</v>
      </c>
      <c r="J66" s="19"/>
      <c r="K66" s="19"/>
      <c r="L66" s="19" t="s">
        <v>13</v>
      </c>
      <c r="M66" s="19" t="s">
        <v>13</v>
      </c>
    </row>
    <row r="67" spans="1:14" ht="13.5" customHeight="1" x14ac:dyDescent="0.2">
      <c r="A67" s="4" t="s">
        <v>14</v>
      </c>
      <c r="B67" s="4">
        <v>2</v>
      </c>
      <c r="C67" s="14"/>
      <c r="D67" s="18">
        <v>2</v>
      </c>
      <c r="E67" s="18">
        <v>2</v>
      </c>
      <c r="F67" s="18"/>
      <c r="G67" s="18">
        <v>2</v>
      </c>
      <c r="H67" s="18">
        <v>2</v>
      </c>
      <c r="I67" s="19"/>
      <c r="J67" s="19"/>
      <c r="K67" s="19"/>
      <c r="L67" s="19" t="s">
        <v>13</v>
      </c>
      <c r="M67" s="19" t="s">
        <v>13</v>
      </c>
    </row>
    <row r="68" spans="1:14" ht="13.5" customHeight="1" x14ac:dyDescent="0.2">
      <c r="A68" s="4" t="s">
        <v>15</v>
      </c>
      <c r="B68" s="4">
        <v>1</v>
      </c>
      <c r="C68" s="14"/>
      <c r="D68" s="18">
        <v>2</v>
      </c>
      <c r="E68" s="18">
        <v>2</v>
      </c>
      <c r="F68" s="18"/>
      <c r="G68" s="18">
        <v>2</v>
      </c>
      <c r="H68" s="18">
        <v>2</v>
      </c>
      <c r="I68" s="19"/>
      <c r="J68" s="19">
        <v>2</v>
      </c>
      <c r="K68" s="19">
        <v>2</v>
      </c>
      <c r="L68" s="19" t="s">
        <v>131</v>
      </c>
      <c r="M68" s="21">
        <f t="shared" ref="M68:N68" si="6">AVERAGE(D68,G68,J68)</f>
        <v>2</v>
      </c>
      <c r="N68" s="5">
        <f t="shared" si="6"/>
        <v>2</v>
      </c>
    </row>
    <row r="69" spans="1:14" ht="13.5" customHeight="1" x14ac:dyDescent="0.2">
      <c r="A69" s="4" t="s">
        <v>16</v>
      </c>
      <c r="B69" s="4">
        <v>3</v>
      </c>
      <c r="C69" s="14"/>
      <c r="D69" s="18">
        <v>2</v>
      </c>
      <c r="E69" s="18">
        <v>2</v>
      </c>
      <c r="F69" s="18"/>
      <c r="G69" s="18">
        <v>2</v>
      </c>
      <c r="H69" s="18">
        <v>2</v>
      </c>
      <c r="I69" s="19"/>
      <c r="J69" s="19"/>
      <c r="K69" s="19"/>
      <c r="L69" s="19" t="s">
        <v>13</v>
      </c>
      <c r="M69" s="19" t="s">
        <v>13</v>
      </c>
    </row>
    <row r="70" spans="1:14" ht="13.5" customHeight="1" x14ac:dyDescent="0.2">
      <c r="A70" s="4" t="s">
        <v>17</v>
      </c>
      <c r="B70" s="4">
        <v>1</v>
      </c>
      <c r="C70" s="14"/>
      <c r="D70" s="18">
        <v>2</v>
      </c>
      <c r="E70" s="18">
        <v>2</v>
      </c>
      <c r="F70" s="18"/>
      <c r="G70" s="18">
        <v>2</v>
      </c>
      <c r="H70" s="18">
        <v>2</v>
      </c>
      <c r="I70" s="19"/>
      <c r="J70" s="19">
        <v>2</v>
      </c>
      <c r="K70" s="19">
        <v>2</v>
      </c>
      <c r="L70" s="19" t="s">
        <v>115</v>
      </c>
      <c r="M70" s="21">
        <f t="shared" ref="M70:N87" si="7">AVERAGE(D70,G70,J70)</f>
        <v>2</v>
      </c>
      <c r="N70" s="5">
        <f t="shared" si="7"/>
        <v>2</v>
      </c>
    </row>
    <row r="71" spans="1:14" ht="13.5" customHeight="1" x14ac:dyDescent="0.2">
      <c r="A71" s="4" t="s">
        <v>18</v>
      </c>
      <c r="B71" s="4">
        <v>2</v>
      </c>
      <c r="C71" s="14"/>
      <c r="D71" s="18">
        <v>1</v>
      </c>
      <c r="E71" s="18">
        <v>1</v>
      </c>
      <c r="F71" s="18"/>
      <c r="G71" s="18">
        <v>1</v>
      </c>
      <c r="H71" s="18">
        <v>1</v>
      </c>
      <c r="I71" s="19"/>
      <c r="J71" s="19">
        <v>0</v>
      </c>
      <c r="K71" s="19">
        <v>2</v>
      </c>
      <c r="L71" s="19"/>
      <c r="M71" s="21">
        <f t="shared" si="7"/>
        <v>0.66666666666666663</v>
      </c>
      <c r="N71" s="5">
        <f t="shared" si="7"/>
        <v>1.3333333333333333</v>
      </c>
    </row>
    <row r="72" spans="1:14" ht="13.5" customHeight="1" x14ac:dyDescent="0.2">
      <c r="A72" s="4" t="s">
        <v>19</v>
      </c>
      <c r="B72" s="4">
        <v>2</v>
      </c>
      <c r="C72" s="14"/>
      <c r="D72" s="18">
        <v>1</v>
      </c>
      <c r="E72" s="18">
        <v>1</v>
      </c>
      <c r="F72" s="18"/>
      <c r="G72" s="18">
        <v>1</v>
      </c>
      <c r="H72" s="18">
        <v>1</v>
      </c>
      <c r="I72" s="19"/>
      <c r="J72" s="19">
        <v>0</v>
      </c>
      <c r="K72" s="19">
        <v>2</v>
      </c>
      <c r="L72" s="19"/>
      <c r="M72" s="21">
        <f t="shared" si="7"/>
        <v>0.66666666666666663</v>
      </c>
      <c r="N72" s="5">
        <f t="shared" si="7"/>
        <v>1.3333333333333333</v>
      </c>
    </row>
    <row r="73" spans="1:14" ht="13.5" customHeight="1" x14ac:dyDescent="0.2">
      <c r="A73" s="6" t="s">
        <v>20</v>
      </c>
      <c r="B73" s="4">
        <v>3</v>
      </c>
      <c r="C73" s="14" t="s">
        <v>44</v>
      </c>
      <c r="D73" s="18"/>
      <c r="E73" s="18"/>
      <c r="F73" s="18"/>
      <c r="G73" s="18"/>
      <c r="H73" s="18"/>
      <c r="I73" s="19"/>
      <c r="J73" s="19"/>
      <c r="K73" s="19"/>
      <c r="L73" s="19"/>
    </row>
    <row r="74" spans="1:14" ht="13.5" customHeight="1" x14ac:dyDescent="0.2">
      <c r="A74" s="4" t="s">
        <v>22</v>
      </c>
      <c r="B74" s="4">
        <v>3</v>
      </c>
      <c r="C74" s="14"/>
      <c r="D74" s="18">
        <v>1</v>
      </c>
      <c r="E74" s="18">
        <v>2</v>
      </c>
      <c r="F74" s="18"/>
      <c r="G74" s="18">
        <v>2</v>
      </c>
      <c r="H74" s="18">
        <v>2</v>
      </c>
      <c r="I74" s="19" t="s">
        <v>109</v>
      </c>
      <c r="J74" s="19">
        <v>0</v>
      </c>
      <c r="K74" s="19">
        <v>2</v>
      </c>
      <c r="L74" s="19" t="s">
        <v>132</v>
      </c>
      <c r="M74" s="21">
        <f t="shared" si="7"/>
        <v>1</v>
      </c>
      <c r="N74" s="5">
        <f t="shared" si="7"/>
        <v>2</v>
      </c>
    </row>
    <row r="75" spans="1:14" ht="13.5" customHeight="1" x14ac:dyDescent="0.2">
      <c r="A75" s="6" t="s">
        <v>23</v>
      </c>
      <c r="B75" s="4">
        <v>2</v>
      </c>
      <c r="C75" s="14" t="s">
        <v>45</v>
      </c>
      <c r="D75" s="18"/>
      <c r="E75" s="18"/>
      <c r="F75" s="18"/>
      <c r="G75" s="18"/>
      <c r="H75" s="18"/>
      <c r="I75" s="19"/>
      <c r="J75" s="19"/>
      <c r="K75" s="19"/>
      <c r="L75" s="19"/>
    </row>
    <row r="76" spans="1:14" ht="13.5" customHeight="1" x14ac:dyDescent="0.2">
      <c r="A76" s="4" t="s">
        <v>25</v>
      </c>
      <c r="B76" s="4">
        <v>2</v>
      </c>
      <c r="C76" s="14"/>
      <c r="D76" s="18">
        <v>1</v>
      </c>
      <c r="E76" s="18">
        <v>2</v>
      </c>
      <c r="F76" s="18"/>
      <c r="G76" s="18">
        <v>1</v>
      </c>
      <c r="H76" s="18">
        <v>2</v>
      </c>
      <c r="I76" s="19"/>
      <c r="J76" s="19">
        <v>0</v>
      </c>
      <c r="K76" s="19">
        <v>2</v>
      </c>
      <c r="L76" s="19"/>
      <c r="M76" s="21">
        <f t="shared" si="7"/>
        <v>0.66666666666666663</v>
      </c>
      <c r="N76" s="5">
        <f t="shared" si="7"/>
        <v>2</v>
      </c>
    </row>
    <row r="77" spans="1:14" ht="13.5" customHeight="1" x14ac:dyDescent="0.2">
      <c r="A77" s="7" t="s">
        <v>26</v>
      </c>
      <c r="B77" s="8"/>
      <c r="C77" s="15" t="s">
        <v>46</v>
      </c>
      <c r="D77" s="18"/>
      <c r="E77" s="18"/>
      <c r="F77" s="18"/>
      <c r="G77" s="18"/>
      <c r="H77" s="18"/>
      <c r="I77" s="19"/>
      <c r="J77" s="19"/>
      <c r="K77" s="19"/>
      <c r="L77" s="19"/>
    </row>
    <row r="78" spans="1:14" ht="13.5" customHeight="1" x14ac:dyDescent="0.2">
      <c r="A78" s="4" t="s">
        <v>28</v>
      </c>
      <c r="B78" s="4">
        <v>1</v>
      </c>
      <c r="C78" s="14"/>
      <c r="D78" s="18">
        <v>1</v>
      </c>
      <c r="E78" s="18">
        <v>1</v>
      </c>
      <c r="F78" s="18"/>
      <c r="G78" s="18">
        <v>0</v>
      </c>
      <c r="H78" s="18">
        <v>1</v>
      </c>
      <c r="I78" s="19"/>
      <c r="J78" s="19">
        <v>0</v>
      </c>
      <c r="K78" s="19">
        <v>2</v>
      </c>
      <c r="L78" s="19"/>
      <c r="M78" s="21">
        <f t="shared" si="7"/>
        <v>0.33333333333333331</v>
      </c>
      <c r="N78" s="5">
        <f t="shared" si="7"/>
        <v>1.3333333333333333</v>
      </c>
    </row>
    <row r="79" spans="1:14" ht="13.5" customHeight="1" x14ac:dyDescent="0.2">
      <c r="A79" s="4" t="s">
        <v>29</v>
      </c>
      <c r="B79" s="4">
        <v>2</v>
      </c>
      <c r="C79" s="14"/>
      <c r="D79" s="18">
        <v>0</v>
      </c>
      <c r="E79" s="18">
        <v>2</v>
      </c>
      <c r="F79" s="18"/>
      <c r="G79" s="18">
        <v>2</v>
      </c>
      <c r="H79" s="18">
        <v>1</v>
      </c>
      <c r="I79" s="19"/>
      <c r="J79" s="19">
        <v>2</v>
      </c>
      <c r="K79" s="19">
        <v>2</v>
      </c>
      <c r="L79" s="19" t="s">
        <v>133</v>
      </c>
      <c r="M79" s="21">
        <f t="shared" si="7"/>
        <v>1.3333333333333333</v>
      </c>
      <c r="N79" s="5">
        <f t="shared" si="7"/>
        <v>1.6666666666666667</v>
      </c>
    </row>
    <row r="80" spans="1:14" ht="13.5" customHeight="1" x14ac:dyDescent="0.2">
      <c r="A80" s="4" t="s">
        <v>30</v>
      </c>
      <c r="B80" s="4">
        <v>1</v>
      </c>
      <c r="C80" s="14"/>
      <c r="D80" s="18">
        <v>2</v>
      </c>
      <c r="E80" s="18">
        <v>2</v>
      </c>
      <c r="F80" s="18"/>
      <c r="G80" s="18">
        <v>2</v>
      </c>
      <c r="H80" s="18">
        <v>2</v>
      </c>
      <c r="I80" s="19"/>
      <c r="J80" s="19">
        <v>2</v>
      </c>
      <c r="K80" s="19">
        <v>2</v>
      </c>
      <c r="L80" s="19" t="s">
        <v>115</v>
      </c>
      <c r="M80" s="21">
        <f t="shared" si="7"/>
        <v>2</v>
      </c>
      <c r="N80" s="5">
        <f t="shared" si="7"/>
        <v>2</v>
      </c>
    </row>
    <row r="81" spans="1:14" ht="13.5" customHeight="1" x14ac:dyDescent="0.2">
      <c r="A81" s="4" t="s">
        <v>31</v>
      </c>
      <c r="B81" s="4">
        <v>2</v>
      </c>
      <c r="C81" s="14"/>
      <c r="D81" s="18">
        <v>0</v>
      </c>
      <c r="E81" s="18">
        <v>2</v>
      </c>
      <c r="F81" s="18"/>
      <c r="G81" s="18">
        <v>0</v>
      </c>
      <c r="H81" s="18">
        <v>2</v>
      </c>
      <c r="I81" s="19"/>
      <c r="J81" s="19">
        <v>0</v>
      </c>
      <c r="K81" s="19">
        <v>2</v>
      </c>
      <c r="L81" s="19"/>
      <c r="M81" s="21">
        <f t="shared" si="7"/>
        <v>0</v>
      </c>
      <c r="N81" s="5">
        <f t="shared" si="7"/>
        <v>2</v>
      </c>
    </row>
    <row r="82" spans="1:14" ht="13.5" customHeight="1" x14ac:dyDescent="0.2">
      <c r="A82" s="7" t="s">
        <v>32</v>
      </c>
      <c r="B82" s="8"/>
      <c r="C82" s="15" t="s">
        <v>47</v>
      </c>
      <c r="D82" s="18"/>
      <c r="E82" s="18"/>
      <c r="F82" s="18"/>
      <c r="G82" s="18"/>
      <c r="H82" s="18"/>
      <c r="I82" s="19"/>
      <c r="J82" s="19"/>
      <c r="K82" s="19"/>
      <c r="L82" s="19"/>
    </row>
    <row r="83" spans="1:14" ht="13.5" customHeight="1" x14ac:dyDescent="0.2">
      <c r="A83" s="4" t="s">
        <v>34</v>
      </c>
      <c r="B83" s="4">
        <v>2</v>
      </c>
      <c r="C83" s="14"/>
      <c r="D83" s="18">
        <v>1</v>
      </c>
      <c r="E83" s="18">
        <v>1</v>
      </c>
      <c r="F83" s="18"/>
      <c r="G83" s="18">
        <v>1</v>
      </c>
      <c r="H83" s="18">
        <v>1</v>
      </c>
      <c r="I83" s="19"/>
      <c r="J83" s="19">
        <v>0</v>
      </c>
      <c r="K83" s="19">
        <v>2</v>
      </c>
      <c r="L83" s="19"/>
      <c r="M83" s="21">
        <f t="shared" si="7"/>
        <v>0.66666666666666663</v>
      </c>
      <c r="N83" s="5">
        <f t="shared" si="7"/>
        <v>1.3333333333333333</v>
      </c>
    </row>
    <row r="84" spans="1:14" ht="13.5" customHeight="1" x14ac:dyDescent="0.2">
      <c r="A84" s="4" t="s">
        <v>35</v>
      </c>
      <c r="B84" s="4">
        <v>2</v>
      </c>
      <c r="C84" s="14"/>
      <c r="D84" s="18">
        <v>1</v>
      </c>
      <c r="E84" s="18">
        <v>1</v>
      </c>
      <c r="F84" s="18"/>
      <c r="G84" s="18">
        <v>0</v>
      </c>
      <c r="H84" s="18">
        <v>2</v>
      </c>
      <c r="I84" s="19"/>
      <c r="J84" s="19">
        <v>0</v>
      </c>
      <c r="K84" s="19">
        <v>2</v>
      </c>
      <c r="L84" s="19"/>
      <c r="M84" s="21">
        <f t="shared" si="7"/>
        <v>0.33333333333333331</v>
      </c>
      <c r="N84" s="5">
        <f t="shared" si="7"/>
        <v>1.6666666666666667</v>
      </c>
    </row>
    <row r="85" spans="1:14" ht="13.5" customHeight="1" x14ac:dyDescent="0.2">
      <c r="A85" s="4" t="s">
        <v>36</v>
      </c>
      <c r="B85" s="4">
        <v>2</v>
      </c>
      <c r="C85" s="14"/>
      <c r="D85" s="18">
        <v>1</v>
      </c>
      <c r="E85" s="18">
        <v>2</v>
      </c>
      <c r="F85" s="18"/>
      <c r="G85" s="18">
        <v>1</v>
      </c>
      <c r="H85" s="18">
        <v>1</v>
      </c>
      <c r="I85" s="19"/>
      <c r="J85" s="19">
        <v>0</v>
      </c>
      <c r="K85" s="19">
        <v>2</v>
      </c>
      <c r="L85" s="19"/>
      <c r="M85" s="21">
        <f t="shared" si="7"/>
        <v>0.66666666666666663</v>
      </c>
      <c r="N85" s="5">
        <f t="shared" si="7"/>
        <v>1.6666666666666667</v>
      </c>
    </row>
    <row r="86" spans="1:14" ht="13.5" customHeight="1" x14ac:dyDescent="0.2">
      <c r="A86" s="4" t="s">
        <v>37</v>
      </c>
      <c r="B86" s="9">
        <v>1</v>
      </c>
      <c r="C86" s="14"/>
      <c r="D86" s="18">
        <v>1</v>
      </c>
      <c r="E86" s="18">
        <v>2</v>
      </c>
      <c r="F86" s="18"/>
      <c r="G86" s="18">
        <v>1</v>
      </c>
      <c r="H86" s="18">
        <v>1</v>
      </c>
      <c r="I86" s="19"/>
      <c r="J86" s="19">
        <v>2</v>
      </c>
      <c r="K86" s="19">
        <v>2</v>
      </c>
      <c r="L86" s="19" t="s">
        <v>115</v>
      </c>
      <c r="M86" s="21">
        <f t="shared" si="7"/>
        <v>1.3333333333333333</v>
      </c>
      <c r="N86" s="5">
        <f t="shared" si="7"/>
        <v>1.6666666666666667</v>
      </c>
    </row>
    <row r="87" spans="1:14" ht="13.5" customHeight="1" x14ac:dyDescent="0.2">
      <c r="A87" s="4" t="s">
        <v>30</v>
      </c>
      <c r="B87" s="9">
        <v>1</v>
      </c>
      <c r="C87" s="14"/>
      <c r="D87" s="18">
        <v>2</v>
      </c>
      <c r="E87" s="18">
        <v>2</v>
      </c>
      <c r="F87" s="18"/>
      <c r="G87" s="18">
        <v>2</v>
      </c>
      <c r="H87" s="18">
        <v>2</v>
      </c>
      <c r="I87" s="19"/>
      <c r="J87" s="19">
        <v>2</v>
      </c>
      <c r="K87" s="19">
        <v>2</v>
      </c>
      <c r="L87" s="19" t="s">
        <v>115</v>
      </c>
      <c r="M87" s="21">
        <f t="shared" si="7"/>
        <v>2</v>
      </c>
      <c r="N87" s="5">
        <f t="shared" si="7"/>
        <v>2</v>
      </c>
    </row>
    <row r="88" spans="1:14" ht="21" customHeight="1" x14ac:dyDescent="0.25">
      <c r="A88" s="2" t="s">
        <v>154</v>
      </c>
    </row>
    <row r="89" spans="1:14" ht="13.5" customHeight="1" x14ac:dyDescent="0.2">
      <c r="A89" s="1" t="s">
        <v>0</v>
      </c>
      <c r="B89" s="1" t="s">
        <v>1</v>
      </c>
      <c r="C89" s="13" t="s">
        <v>2</v>
      </c>
      <c r="D89" s="18" t="s">
        <v>3</v>
      </c>
      <c r="E89" s="18" t="s">
        <v>4</v>
      </c>
      <c r="F89" s="18" t="s">
        <v>5</v>
      </c>
      <c r="G89" s="18" t="s">
        <v>105</v>
      </c>
      <c r="H89" s="18" t="s">
        <v>106</v>
      </c>
      <c r="I89" s="19" t="s">
        <v>107</v>
      </c>
      <c r="J89" s="19" t="s">
        <v>116</v>
      </c>
      <c r="K89" s="19" t="s">
        <v>117</v>
      </c>
      <c r="L89" s="19" t="s">
        <v>118</v>
      </c>
    </row>
    <row r="90" spans="1:14" ht="13.5" customHeight="1" x14ac:dyDescent="0.2">
      <c r="A90" s="3" t="s">
        <v>6</v>
      </c>
      <c r="B90" s="1">
        <v>3</v>
      </c>
      <c r="C90" s="12" t="s">
        <v>48</v>
      </c>
      <c r="D90" s="18"/>
      <c r="E90" s="18"/>
      <c r="F90" s="18"/>
      <c r="G90" s="18"/>
      <c r="H90" s="18"/>
      <c r="I90" s="19"/>
      <c r="J90" s="19"/>
      <c r="K90" s="19"/>
      <c r="L90" s="19"/>
    </row>
    <row r="91" spans="1:14" ht="13.5" customHeight="1" x14ac:dyDescent="0.2">
      <c r="A91" s="4" t="s">
        <v>8</v>
      </c>
      <c r="B91" s="4">
        <v>2</v>
      </c>
      <c r="C91" s="14"/>
      <c r="D91" s="18">
        <v>1</v>
      </c>
      <c r="E91" s="18">
        <v>1</v>
      </c>
      <c r="F91" s="18"/>
      <c r="G91" s="18">
        <v>0</v>
      </c>
      <c r="H91" s="18">
        <v>1</v>
      </c>
      <c r="I91" s="19"/>
      <c r="J91" s="19">
        <v>0</v>
      </c>
      <c r="K91" s="19">
        <v>2</v>
      </c>
      <c r="L91" s="19"/>
      <c r="M91" s="21">
        <f t="shared" ref="M91:N94" si="8">AVERAGE(D91,G91,J91)</f>
        <v>0.33333333333333331</v>
      </c>
      <c r="N91" s="5">
        <f t="shared" si="8"/>
        <v>1.3333333333333333</v>
      </c>
    </row>
    <row r="92" spans="1:14" ht="13.5" customHeight="1" x14ac:dyDescent="0.2">
      <c r="A92" s="4" t="s">
        <v>9</v>
      </c>
      <c r="B92" s="4">
        <v>2</v>
      </c>
      <c r="C92" s="14"/>
      <c r="D92" s="18">
        <v>0</v>
      </c>
      <c r="E92" s="18">
        <v>2</v>
      </c>
      <c r="F92" s="18"/>
      <c r="G92" s="18">
        <v>0</v>
      </c>
      <c r="H92" s="18">
        <v>2</v>
      </c>
      <c r="I92" s="19"/>
      <c r="J92" s="19">
        <v>0</v>
      </c>
      <c r="K92" s="19">
        <v>2</v>
      </c>
      <c r="L92" s="19"/>
      <c r="M92" s="21">
        <f t="shared" si="8"/>
        <v>0</v>
      </c>
      <c r="N92" s="5">
        <f t="shared" si="8"/>
        <v>2</v>
      </c>
    </row>
    <row r="93" spans="1:14" ht="13.5" customHeight="1" x14ac:dyDescent="0.2">
      <c r="A93" s="4" t="s">
        <v>10</v>
      </c>
      <c r="B93" s="4">
        <v>3</v>
      </c>
      <c r="C93" s="14"/>
      <c r="D93" s="18">
        <v>1</v>
      </c>
      <c r="E93" s="18">
        <v>1</v>
      </c>
      <c r="F93" s="18"/>
      <c r="G93" s="18">
        <v>1</v>
      </c>
      <c r="H93" s="18">
        <v>1</v>
      </c>
      <c r="I93" s="19"/>
      <c r="J93" s="19">
        <v>0</v>
      </c>
      <c r="K93" s="19">
        <v>2</v>
      </c>
      <c r="L93" s="19"/>
      <c r="M93" s="21">
        <f t="shared" si="8"/>
        <v>0.66666666666666663</v>
      </c>
      <c r="N93" s="5">
        <f t="shared" si="8"/>
        <v>1.3333333333333333</v>
      </c>
    </row>
    <row r="94" spans="1:14" ht="13.5" customHeight="1" x14ac:dyDescent="0.2">
      <c r="A94" s="4" t="s">
        <v>11</v>
      </c>
      <c r="B94" s="4">
        <v>3</v>
      </c>
      <c r="C94" s="14"/>
      <c r="D94" s="18">
        <v>2</v>
      </c>
      <c r="E94" s="18">
        <v>2</v>
      </c>
      <c r="F94" s="18"/>
      <c r="G94" s="18">
        <v>2</v>
      </c>
      <c r="H94" s="18">
        <v>2</v>
      </c>
      <c r="I94" s="19"/>
      <c r="J94" s="19">
        <v>2</v>
      </c>
      <c r="K94" s="19">
        <v>2</v>
      </c>
      <c r="L94" s="19" t="s">
        <v>134</v>
      </c>
      <c r="M94" s="21">
        <f t="shared" si="8"/>
        <v>2</v>
      </c>
      <c r="N94" s="5">
        <f t="shared" si="8"/>
        <v>2</v>
      </c>
    </row>
    <row r="95" spans="1:14" ht="13.5" customHeight="1" x14ac:dyDescent="0.2">
      <c r="A95" s="4" t="s">
        <v>12</v>
      </c>
      <c r="B95" s="4">
        <v>1</v>
      </c>
      <c r="C95" s="14"/>
      <c r="D95" s="18"/>
      <c r="E95" s="18"/>
      <c r="F95" s="18" t="s">
        <v>13</v>
      </c>
      <c r="G95" s="18"/>
      <c r="H95" s="18"/>
      <c r="I95" s="19" t="s">
        <v>13</v>
      </c>
      <c r="J95" s="19"/>
      <c r="K95" s="19"/>
      <c r="L95" s="19" t="s">
        <v>13</v>
      </c>
      <c r="M95" s="19" t="s">
        <v>13</v>
      </c>
    </row>
    <row r="96" spans="1:14" ht="13.5" customHeight="1" x14ac:dyDescent="0.2">
      <c r="A96" s="4" t="s">
        <v>14</v>
      </c>
      <c r="B96" s="4">
        <v>2</v>
      </c>
      <c r="C96" s="14"/>
      <c r="D96" s="18">
        <v>2</v>
      </c>
      <c r="E96" s="18">
        <v>2</v>
      </c>
      <c r="F96" s="18"/>
      <c r="G96" s="18">
        <v>2</v>
      </c>
      <c r="H96" s="18">
        <v>1</v>
      </c>
      <c r="I96" s="19"/>
      <c r="J96" s="19"/>
      <c r="K96" s="19"/>
      <c r="L96" s="19" t="s">
        <v>13</v>
      </c>
      <c r="M96" s="19" t="s">
        <v>13</v>
      </c>
    </row>
    <row r="97" spans="1:14" ht="13.5" customHeight="1" x14ac:dyDescent="0.2">
      <c r="A97" s="4" t="s">
        <v>15</v>
      </c>
      <c r="B97" s="4">
        <v>1</v>
      </c>
      <c r="C97" s="14"/>
      <c r="D97" s="18">
        <v>2</v>
      </c>
      <c r="E97" s="18">
        <v>2</v>
      </c>
      <c r="F97" s="18"/>
      <c r="G97" s="18">
        <v>2</v>
      </c>
      <c r="H97" s="18">
        <v>1</v>
      </c>
      <c r="I97" s="19"/>
      <c r="J97" s="19">
        <v>2</v>
      </c>
      <c r="K97" s="19">
        <v>2</v>
      </c>
      <c r="L97" s="19"/>
      <c r="M97" s="21">
        <f t="shared" ref="M97:N97" si="9">AVERAGE(D97,G97,J97)</f>
        <v>2</v>
      </c>
      <c r="N97" s="5">
        <f t="shared" si="9"/>
        <v>1.6666666666666667</v>
      </c>
    </row>
    <row r="98" spans="1:14" ht="13.5" customHeight="1" x14ac:dyDescent="0.2">
      <c r="A98" s="4" t="s">
        <v>16</v>
      </c>
      <c r="B98" s="4">
        <v>3</v>
      </c>
      <c r="C98" s="14"/>
      <c r="D98" s="18">
        <v>2</v>
      </c>
      <c r="E98" s="18">
        <v>2</v>
      </c>
      <c r="F98" s="18"/>
      <c r="G98" s="18">
        <v>2</v>
      </c>
      <c r="H98" s="18">
        <v>2</v>
      </c>
      <c r="I98" s="19"/>
      <c r="J98" s="19"/>
      <c r="K98" s="19"/>
      <c r="L98" s="19" t="s">
        <v>13</v>
      </c>
      <c r="M98" s="19" t="s">
        <v>13</v>
      </c>
    </row>
    <row r="99" spans="1:14" ht="13.5" customHeight="1" x14ac:dyDescent="0.2">
      <c r="A99" s="4" t="s">
        <v>17</v>
      </c>
      <c r="B99" s="4">
        <v>1</v>
      </c>
      <c r="C99" s="14"/>
      <c r="D99" s="18">
        <v>2</v>
      </c>
      <c r="E99" s="18">
        <v>2</v>
      </c>
      <c r="F99" s="18"/>
      <c r="G99" s="18">
        <v>2</v>
      </c>
      <c r="H99" s="18">
        <v>2</v>
      </c>
      <c r="I99" s="19"/>
      <c r="J99" s="19">
        <v>2</v>
      </c>
      <c r="K99" s="19">
        <v>2</v>
      </c>
      <c r="L99" s="19"/>
      <c r="M99" s="21">
        <f t="shared" ref="M99:N100" si="10">AVERAGE(D99,G99,J99)</f>
        <v>2</v>
      </c>
      <c r="N99" s="5">
        <f t="shared" si="10"/>
        <v>2</v>
      </c>
    </row>
    <row r="100" spans="1:14" ht="13.5" customHeight="1" x14ac:dyDescent="0.2">
      <c r="A100" s="4" t="s">
        <v>18</v>
      </c>
      <c r="B100" s="4">
        <v>2</v>
      </c>
      <c r="C100" s="14"/>
      <c r="D100" s="18">
        <v>1</v>
      </c>
      <c r="E100" s="18">
        <v>1</v>
      </c>
      <c r="F100" s="18"/>
      <c r="G100" s="18">
        <v>1</v>
      </c>
      <c r="H100" s="18">
        <v>1</v>
      </c>
      <c r="I100" s="19"/>
      <c r="J100" s="19">
        <v>1</v>
      </c>
      <c r="K100" s="19">
        <v>1</v>
      </c>
      <c r="L100" s="19" t="s">
        <v>135</v>
      </c>
      <c r="M100" s="21">
        <f t="shared" si="10"/>
        <v>1</v>
      </c>
      <c r="N100" s="5">
        <f t="shared" si="10"/>
        <v>1</v>
      </c>
    </row>
    <row r="101" spans="1:14" ht="13.5" customHeight="1" x14ac:dyDescent="0.2">
      <c r="A101" s="4" t="s">
        <v>19</v>
      </c>
      <c r="B101" s="4">
        <v>2</v>
      </c>
      <c r="C101" s="14"/>
      <c r="D101" s="18">
        <v>1</v>
      </c>
      <c r="E101" s="18">
        <v>1</v>
      </c>
      <c r="F101" s="18"/>
      <c r="G101" s="18">
        <v>1</v>
      </c>
      <c r="H101" s="18">
        <v>1</v>
      </c>
      <c r="I101" s="19"/>
      <c r="J101" s="19"/>
      <c r="K101" s="19"/>
      <c r="L101" s="19" t="s">
        <v>13</v>
      </c>
      <c r="M101" s="19" t="s">
        <v>13</v>
      </c>
    </row>
    <row r="102" spans="1:14" ht="13.5" customHeight="1" x14ac:dyDescent="0.2">
      <c r="A102" s="6" t="s">
        <v>20</v>
      </c>
      <c r="B102" s="4">
        <v>3</v>
      </c>
      <c r="C102" s="14" t="s">
        <v>49</v>
      </c>
      <c r="D102" s="18"/>
      <c r="E102" s="18"/>
      <c r="F102" s="18"/>
      <c r="G102" s="18"/>
      <c r="H102" s="18"/>
      <c r="I102" s="19"/>
      <c r="J102" s="19"/>
      <c r="K102" s="19"/>
      <c r="L102" s="19"/>
    </row>
    <row r="103" spans="1:14" ht="13.5" customHeight="1" x14ac:dyDescent="0.2">
      <c r="A103" s="4" t="s">
        <v>22</v>
      </c>
      <c r="B103" s="4">
        <v>3</v>
      </c>
      <c r="C103" s="14"/>
      <c r="D103" s="18">
        <v>1</v>
      </c>
      <c r="E103" s="18">
        <v>1</v>
      </c>
      <c r="F103" s="18"/>
      <c r="G103" s="18">
        <v>2</v>
      </c>
      <c r="H103" s="18">
        <v>2</v>
      </c>
      <c r="I103" s="19" t="s">
        <v>110</v>
      </c>
      <c r="J103" s="19">
        <v>2</v>
      </c>
      <c r="K103" s="19">
        <v>2</v>
      </c>
      <c r="L103" s="19" t="s">
        <v>136</v>
      </c>
      <c r="M103" s="21">
        <f t="shared" ref="M103:N103" si="11">AVERAGE(D103,G103,J103)</f>
        <v>1.6666666666666667</v>
      </c>
      <c r="N103" s="5">
        <f t="shared" si="11"/>
        <v>1.6666666666666667</v>
      </c>
    </row>
    <row r="104" spans="1:14" ht="13.5" customHeight="1" x14ac:dyDescent="0.2">
      <c r="A104" s="6" t="s">
        <v>23</v>
      </c>
      <c r="B104" s="4">
        <v>2</v>
      </c>
      <c r="C104" s="14" t="s">
        <v>50</v>
      </c>
      <c r="D104" s="18"/>
      <c r="E104" s="18"/>
      <c r="F104" s="18"/>
      <c r="G104" s="18"/>
      <c r="H104" s="18"/>
      <c r="I104" s="19"/>
      <c r="J104" s="19"/>
      <c r="K104" s="19"/>
      <c r="L104" s="19"/>
    </row>
    <row r="105" spans="1:14" ht="13.5" customHeight="1" x14ac:dyDescent="0.2">
      <c r="A105" s="4" t="s">
        <v>25</v>
      </c>
      <c r="B105" s="4">
        <v>2</v>
      </c>
      <c r="C105" s="14"/>
      <c r="D105" s="18">
        <v>2</v>
      </c>
      <c r="E105" s="18">
        <v>2</v>
      </c>
      <c r="F105" s="18"/>
      <c r="G105" s="18">
        <v>1</v>
      </c>
      <c r="H105" s="18">
        <v>2</v>
      </c>
      <c r="I105" s="19"/>
      <c r="J105" s="19">
        <v>0</v>
      </c>
      <c r="K105" s="19">
        <v>2</v>
      </c>
      <c r="L105" s="19"/>
      <c r="M105" s="21">
        <f t="shared" ref="M105:N116" si="12">AVERAGE(D105,G105,J105)</f>
        <v>1</v>
      </c>
      <c r="N105" s="5">
        <f t="shared" si="12"/>
        <v>2</v>
      </c>
    </row>
    <row r="106" spans="1:14" ht="13.5" customHeight="1" x14ac:dyDescent="0.2">
      <c r="A106" s="7" t="s">
        <v>26</v>
      </c>
      <c r="B106" s="8"/>
      <c r="C106" s="15" t="s">
        <v>51</v>
      </c>
      <c r="D106" s="18"/>
      <c r="E106" s="18"/>
      <c r="F106" s="18"/>
      <c r="G106" s="18"/>
      <c r="H106" s="18"/>
      <c r="I106" s="19"/>
      <c r="J106" s="19"/>
      <c r="K106" s="19"/>
      <c r="L106" s="19"/>
    </row>
    <row r="107" spans="1:14" ht="13.5" customHeight="1" x14ac:dyDescent="0.2">
      <c r="A107" s="4" t="s">
        <v>28</v>
      </c>
      <c r="B107" s="4">
        <v>1</v>
      </c>
      <c r="C107" s="14"/>
      <c r="D107" s="18">
        <v>1</v>
      </c>
      <c r="E107" s="18">
        <v>1</v>
      </c>
      <c r="F107" s="18"/>
      <c r="G107" s="18">
        <v>0</v>
      </c>
      <c r="H107" s="18">
        <v>1</v>
      </c>
      <c r="I107" s="19"/>
      <c r="J107" s="19">
        <v>0</v>
      </c>
      <c r="K107" s="19">
        <v>2</v>
      </c>
      <c r="L107" s="19"/>
      <c r="M107" s="21">
        <f t="shared" ref="M107:M116" si="13">AVERAGE(D107,G107,J107)</f>
        <v>0.33333333333333331</v>
      </c>
      <c r="N107" s="5">
        <f t="shared" si="12"/>
        <v>1.3333333333333333</v>
      </c>
    </row>
    <row r="108" spans="1:14" ht="13.5" customHeight="1" x14ac:dyDescent="0.2">
      <c r="A108" s="4" t="s">
        <v>29</v>
      </c>
      <c r="B108" s="4">
        <v>2</v>
      </c>
      <c r="C108" s="14"/>
      <c r="D108" s="18">
        <v>2</v>
      </c>
      <c r="E108" s="18">
        <v>2</v>
      </c>
      <c r="F108" s="18"/>
      <c r="G108" s="18">
        <v>2</v>
      </c>
      <c r="H108" s="18">
        <v>2</v>
      </c>
      <c r="I108" s="19"/>
      <c r="J108" s="19">
        <v>1</v>
      </c>
      <c r="K108" s="19">
        <v>1</v>
      </c>
      <c r="L108" s="19" t="s">
        <v>137</v>
      </c>
      <c r="M108" s="21">
        <f t="shared" si="13"/>
        <v>1.6666666666666667</v>
      </c>
      <c r="N108" s="5">
        <f t="shared" si="12"/>
        <v>1.6666666666666667</v>
      </c>
    </row>
    <row r="109" spans="1:14" ht="13.5" customHeight="1" x14ac:dyDescent="0.2">
      <c r="A109" s="4" t="s">
        <v>30</v>
      </c>
      <c r="B109" s="4">
        <v>1</v>
      </c>
      <c r="C109" s="14"/>
      <c r="D109" s="18">
        <v>2</v>
      </c>
      <c r="E109" s="18">
        <v>2</v>
      </c>
      <c r="F109" s="18"/>
      <c r="G109" s="18">
        <v>2</v>
      </c>
      <c r="H109" s="18">
        <v>2</v>
      </c>
      <c r="I109" s="19"/>
      <c r="J109" s="19">
        <v>2</v>
      </c>
      <c r="K109" s="19">
        <v>2</v>
      </c>
      <c r="L109" s="19" t="s">
        <v>115</v>
      </c>
      <c r="M109" s="21">
        <f t="shared" si="13"/>
        <v>2</v>
      </c>
      <c r="N109" s="5">
        <f t="shared" si="12"/>
        <v>2</v>
      </c>
    </row>
    <row r="110" spans="1:14" ht="13.5" customHeight="1" x14ac:dyDescent="0.2">
      <c r="A110" s="4" t="s">
        <v>31</v>
      </c>
      <c r="B110" s="4">
        <v>2</v>
      </c>
      <c r="C110" s="14"/>
      <c r="D110" s="18">
        <v>0</v>
      </c>
      <c r="E110" s="18">
        <v>2</v>
      </c>
      <c r="F110" s="18"/>
      <c r="G110" s="18">
        <v>0</v>
      </c>
      <c r="H110" s="18">
        <v>2</v>
      </c>
      <c r="I110" s="19"/>
      <c r="J110" s="19">
        <v>0</v>
      </c>
      <c r="K110" s="19">
        <v>2</v>
      </c>
      <c r="L110" s="19"/>
      <c r="M110" s="21">
        <f t="shared" si="13"/>
        <v>0</v>
      </c>
      <c r="N110" s="5">
        <f t="shared" si="12"/>
        <v>2</v>
      </c>
    </row>
    <row r="111" spans="1:14" ht="13.5" customHeight="1" x14ac:dyDescent="0.2">
      <c r="A111" s="7" t="s">
        <v>32</v>
      </c>
      <c r="B111" s="8"/>
      <c r="C111" s="15" t="s">
        <v>52</v>
      </c>
      <c r="D111" s="18"/>
      <c r="E111" s="18"/>
      <c r="F111" s="18"/>
      <c r="G111" s="18"/>
      <c r="H111" s="18"/>
      <c r="I111" s="19"/>
      <c r="J111" s="19"/>
      <c r="K111" s="19"/>
      <c r="L111" s="19"/>
    </row>
    <row r="112" spans="1:14" ht="13.5" customHeight="1" x14ac:dyDescent="0.2">
      <c r="A112" s="4" t="s">
        <v>34</v>
      </c>
      <c r="B112" s="4">
        <v>2</v>
      </c>
      <c r="C112" s="14"/>
      <c r="D112" s="18">
        <v>1</v>
      </c>
      <c r="E112" s="18">
        <v>1</v>
      </c>
      <c r="F112" s="18"/>
      <c r="G112" s="18">
        <v>1</v>
      </c>
      <c r="H112" s="18">
        <v>1</v>
      </c>
      <c r="I112" s="19" t="s">
        <v>111</v>
      </c>
      <c r="J112" s="19">
        <v>0</v>
      </c>
      <c r="K112" s="19">
        <v>2</v>
      </c>
      <c r="L112" s="19"/>
      <c r="M112" s="21">
        <f t="shared" si="13"/>
        <v>0.66666666666666663</v>
      </c>
      <c r="N112" s="5">
        <f t="shared" si="12"/>
        <v>1.3333333333333333</v>
      </c>
    </row>
    <row r="113" spans="1:14" ht="13.5" customHeight="1" x14ac:dyDescent="0.2">
      <c r="A113" s="4" t="s">
        <v>35</v>
      </c>
      <c r="B113" s="4">
        <v>2</v>
      </c>
      <c r="C113" s="14"/>
      <c r="D113" s="18">
        <v>1</v>
      </c>
      <c r="E113" s="18">
        <v>1</v>
      </c>
      <c r="F113" s="18"/>
      <c r="G113" s="18">
        <v>1</v>
      </c>
      <c r="H113" s="18">
        <v>1</v>
      </c>
      <c r="I113" s="19" t="s">
        <v>112</v>
      </c>
      <c r="J113" s="19">
        <v>1</v>
      </c>
      <c r="K113" s="19">
        <v>2</v>
      </c>
      <c r="L113" s="19" t="s">
        <v>138</v>
      </c>
      <c r="M113" s="21">
        <f t="shared" si="13"/>
        <v>1</v>
      </c>
      <c r="N113" s="5">
        <f t="shared" si="12"/>
        <v>1.3333333333333333</v>
      </c>
    </row>
    <row r="114" spans="1:14" ht="13.5" customHeight="1" x14ac:dyDescent="0.2">
      <c r="A114" s="4" t="s">
        <v>36</v>
      </c>
      <c r="B114" s="4">
        <v>2</v>
      </c>
      <c r="C114" s="14"/>
      <c r="D114" s="18">
        <v>1</v>
      </c>
      <c r="E114" s="18">
        <v>1</v>
      </c>
      <c r="F114" s="18"/>
      <c r="G114" s="18">
        <v>1</v>
      </c>
      <c r="H114" s="18">
        <v>1</v>
      </c>
      <c r="I114" s="19"/>
      <c r="J114" s="19">
        <v>1</v>
      </c>
      <c r="K114" s="19">
        <v>2</v>
      </c>
      <c r="L114" s="19" t="s">
        <v>139</v>
      </c>
      <c r="M114" s="21">
        <f t="shared" si="13"/>
        <v>1</v>
      </c>
      <c r="N114" s="5">
        <f t="shared" si="12"/>
        <v>1.3333333333333333</v>
      </c>
    </row>
    <row r="115" spans="1:14" ht="13.5" customHeight="1" x14ac:dyDescent="0.2">
      <c r="A115" s="4" t="s">
        <v>37</v>
      </c>
      <c r="B115" s="9">
        <v>1</v>
      </c>
      <c r="C115" s="14"/>
      <c r="D115" s="18">
        <v>2</v>
      </c>
      <c r="E115" s="18">
        <v>2</v>
      </c>
      <c r="F115" s="18"/>
      <c r="G115" s="18">
        <v>1</v>
      </c>
      <c r="H115" s="18">
        <v>2</v>
      </c>
      <c r="I115" s="19"/>
      <c r="J115" s="19">
        <v>2</v>
      </c>
      <c r="K115" s="19">
        <v>2</v>
      </c>
      <c r="L115" s="19" t="s">
        <v>115</v>
      </c>
      <c r="M115" s="21">
        <f t="shared" si="13"/>
        <v>1.6666666666666667</v>
      </c>
      <c r="N115" s="5">
        <f t="shared" si="12"/>
        <v>2</v>
      </c>
    </row>
    <row r="116" spans="1:14" ht="13.5" customHeight="1" x14ac:dyDescent="0.2">
      <c r="A116" s="4" t="s">
        <v>30</v>
      </c>
      <c r="B116" s="9">
        <v>1</v>
      </c>
      <c r="C116" s="14"/>
      <c r="D116" s="18">
        <v>2</v>
      </c>
      <c r="E116" s="18">
        <v>2</v>
      </c>
      <c r="F116" s="18"/>
      <c r="G116" s="18">
        <v>2</v>
      </c>
      <c r="H116" s="18">
        <v>2</v>
      </c>
      <c r="I116" s="19"/>
      <c r="J116" s="19">
        <v>2</v>
      </c>
      <c r="K116" s="19">
        <v>2</v>
      </c>
      <c r="L116" s="19" t="s">
        <v>115</v>
      </c>
      <c r="M116" s="21">
        <f t="shared" si="13"/>
        <v>2</v>
      </c>
      <c r="N116" s="5">
        <f t="shared" si="12"/>
        <v>2</v>
      </c>
    </row>
    <row r="117" spans="1:14" ht="27" customHeight="1" x14ac:dyDescent="0.25">
      <c r="A117" s="2" t="s">
        <v>155</v>
      </c>
    </row>
    <row r="118" spans="1:14" ht="15" customHeight="1" x14ac:dyDescent="0.2">
      <c r="A118" s="1" t="s">
        <v>0</v>
      </c>
      <c r="B118" s="1" t="s">
        <v>1</v>
      </c>
      <c r="C118" s="13" t="s">
        <v>2</v>
      </c>
      <c r="D118" s="18" t="s">
        <v>3</v>
      </c>
      <c r="E118" s="18" t="s">
        <v>4</v>
      </c>
      <c r="F118" s="18" t="s">
        <v>5</v>
      </c>
      <c r="G118" s="18" t="s">
        <v>105</v>
      </c>
      <c r="H118" s="18" t="s">
        <v>106</v>
      </c>
      <c r="I118" s="19" t="s">
        <v>107</v>
      </c>
      <c r="J118" s="19" t="s">
        <v>116</v>
      </c>
      <c r="K118" s="19" t="s">
        <v>117</v>
      </c>
      <c r="L118" s="19" t="s">
        <v>118</v>
      </c>
    </row>
    <row r="119" spans="1:14" ht="13.5" customHeight="1" x14ac:dyDescent="0.2">
      <c r="A119" s="3" t="s">
        <v>6</v>
      </c>
      <c r="B119" s="1">
        <v>3</v>
      </c>
      <c r="C119" s="12" t="s">
        <v>53</v>
      </c>
      <c r="D119" s="18"/>
      <c r="E119" s="18"/>
      <c r="F119" s="18"/>
      <c r="G119" s="18"/>
      <c r="H119" s="18"/>
      <c r="I119" s="19"/>
      <c r="J119" s="19"/>
      <c r="K119" s="19"/>
      <c r="L119" s="19"/>
    </row>
    <row r="120" spans="1:14" ht="13.5" customHeight="1" x14ac:dyDescent="0.2">
      <c r="A120" s="4" t="s">
        <v>8</v>
      </c>
      <c r="B120" s="4">
        <v>2</v>
      </c>
      <c r="C120" s="14"/>
      <c r="D120" s="18">
        <v>1</v>
      </c>
      <c r="E120" s="18">
        <v>1</v>
      </c>
      <c r="F120" s="18"/>
      <c r="G120" s="18">
        <v>1</v>
      </c>
      <c r="H120" s="18">
        <v>1</v>
      </c>
      <c r="I120" s="19"/>
      <c r="J120" s="19">
        <v>0</v>
      </c>
      <c r="K120" s="19">
        <v>2</v>
      </c>
      <c r="L120" s="19"/>
      <c r="M120" s="21">
        <f t="shared" ref="M120:N145" si="14">AVERAGE(D120,G120,J120)</f>
        <v>0.66666666666666663</v>
      </c>
      <c r="N120" s="5">
        <f t="shared" si="14"/>
        <v>1.3333333333333333</v>
      </c>
    </row>
    <row r="121" spans="1:14" ht="13.5" customHeight="1" x14ac:dyDescent="0.2">
      <c r="A121" s="4" t="s">
        <v>9</v>
      </c>
      <c r="B121" s="4">
        <v>2</v>
      </c>
      <c r="C121" s="14"/>
      <c r="D121" s="18">
        <v>1</v>
      </c>
      <c r="E121" s="18">
        <v>1</v>
      </c>
      <c r="F121" s="18"/>
      <c r="G121" s="18">
        <v>1</v>
      </c>
      <c r="H121" s="18">
        <v>1</v>
      </c>
      <c r="I121" s="19"/>
      <c r="J121" s="19">
        <v>1</v>
      </c>
      <c r="K121" s="19">
        <v>1</v>
      </c>
      <c r="L121" s="19" t="s">
        <v>140</v>
      </c>
      <c r="M121" s="21">
        <f t="shared" si="14"/>
        <v>1</v>
      </c>
      <c r="N121" s="5">
        <f t="shared" si="14"/>
        <v>1</v>
      </c>
    </row>
    <row r="122" spans="1:14" ht="13.5" customHeight="1" x14ac:dyDescent="0.2">
      <c r="A122" s="4" t="s">
        <v>10</v>
      </c>
      <c r="B122" s="4">
        <v>3</v>
      </c>
      <c r="C122" s="14"/>
      <c r="D122" s="18">
        <v>1</v>
      </c>
      <c r="E122" s="18">
        <v>1</v>
      </c>
      <c r="F122" s="18"/>
      <c r="G122" s="18">
        <v>2</v>
      </c>
      <c r="H122" s="18">
        <v>1</v>
      </c>
      <c r="I122" s="19"/>
      <c r="J122" s="19">
        <v>1</v>
      </c>
      <c r="K122" s="19">
        <v>1</v>
      </c>
      <c r="L122" s="19" t="s">
        <v>141</v>
      </c>
      <c r="M122" s="21">
        <f t="shared" si="14"/>
        <v>1.3333333333333333</v>
      </c>
      <c r="N122" s="5">
        <f t="shared" si="14"/>
        <v>1</v>
      </c>
    </row>
    <row r="123" spans="1:14" ht="13.5" customHeight="1" x14ac:dyDescent="0.2">
      <c r="A123" s="4" t="s">
        <v>11</v>
      </c>
      <c r="B123" s="4">
        <v>3</v>
      </c>
      <c r="C123" s="14"/>
      <c r="D123" s="18">
        <v>2</v>
      </c>
      <c r="E123" s="18">
        <v>2</v>
      </c>
      <c r="F123" s="18"/>
      <c r="G123" s="18">
        <v>2</v>
      </c>
      <c r="H123" s="18">
        <v>2</v>
      </c>
      <c r="I123" s="19"/>
      <c r="J123" s="19">
        <v>2</v>
      </c>
      <c r="K123" s="19">
        <v>2</v>
      </c>
      <c r="L123" s="19"/>
      <c r="M123" s="21">
        <f t="shared" si="14"/>
        <v>2</v>
      </c>
      <c r="N123" s="5">
        <f t="shared" si="14"/>
        <v>2</v>
      </c>
    </row>
    <row r="124" spans="1:14" ht="13.5" customHeight="1" x14ac:dyDescent="0.2">
      <c r="A124" s="4" t="s">
        <v>12</v>
      </c>
      <c r="B124" s="4">
        <v>1</v>
      </c>
      <c r="C124" s="14"/>
      <c r="D124" s="18"/>
      <c r="E124" s="18"/>
      <c r="F124" s="18" t="s">
        <v>13</v>
      </c>
      <c r="G124" s="18"/>
      <c r="H124" s="18"/>
      <c r="I124" s="19" t="s">
        <v>13</v>
      </c>
      <c r="J124" s="19"/>
      <c r="K124" s="19"/>
      <c r="L124" s="19" t="s">
        <v>13</v>
      </c>
      <c r="M124" s="19" t="s">
        <v>13</v>
      </c>
    </row>
    <row r="125" spans="1:14" ht="13.5" customHeight="1" x14ac:dyDescent="0.2">
      <c r="A125" s="4" t="s">
        <v>14</v>
      </c>
      <c r="B125" s="4">
        <v>2</v>
      </c>
      <c r="C125" s="14"/>
      <c r="D125" s="18">
        <v>2</v>
      </c>
      <c r="E125" s="18">
        <v>1</v>
      </c>
      <c r="F125" s="18"/>
      <c r="G125" s="18">
        <v>2</v>
      </c>
      <c r="H125" s="18">
        <v>1</v>
      </c>
      <c r="I125" s="19"/>
      <c r="J125" s="19">
        <v>2</v>
      </c>
      <c r="K125" s="19">
        <v>2</v>
      </c>
      <c r="L125" s="19" t="s">
        <v>142</v>
      </c>
      <c r="M125" s="21">
        <f t="shared" si="14"/>
        <v>2</v>
      </c>
      <c r="N125" s="5">
        <f t="shared" si="14"/>
        <v>1.3333333333333333</v>
      </c>
    </row>
    <row r="126" spans="1:14" ht="13.5" customHeight="1" x14ac:dyDescent="0.2">
      <c r="A126" s="4" t="s">
        <v>15</v>
      </c>
      <c r="B126" s="4">
        <v>1</v>
      </c>
      <c r="C126" s="14"/>
      <c r="D126" s="18">
        <v>2</v>
      </c>
      <c r="E126" s="18">
        <v>1</v>
      </c>
      <c r="F126" s="18"/>
      <c r="G126" s="18">
        <v>1</v>
      </c>
      <c r="H126" s="18">
        <v>1</v>
      </c>
      <c r="I126" s="19"/>
      <c r="J126" s="19">
        <v>1</v>
      </c>
      <c r="K126" s="19">
        <v>1</v>
      </c>
      <c r="L126" s="19" t="s">
        <v>143</v>
      </c>
      <c r="M126" s="21">
        <f t="shared" si="14"/>
        <v>1.3333333333333333</v>
      </c>
      <c r="N126" s="5">
        <f t="shared" si="14"/>
        <v>1</v>
      </c>
    </row>
    <row r="127" spans="1:14" ht="13.5" customHeight="1" x14ac:dyDescent="0.2">
      <c r="A127" s="4" t="s">
        <v>16</v>
      </c>
      <c r="B127" s="4">
        <v>3</v>
      </c>
      <c r="C127" s="14"/>
      <c r="D127" s="18">
        <v>2</v>
      </c>
      <c r="E127" s="18">
        <v>1</v>
      </c>
      <c r="F127" s="18"/>
      <c r="G127" s="18">
        <v>2</v>
      </c>
      <c r="H127" s="18">
        <v>2</v>
      </c>
      <c r="I127" s="19"/>
      <c r="J127" s="19">
        <v>2</v>
      </c>
      <c r="K127" s="19">
        <v>2</v>
      </c>
      <c r="L127" s="19"/>
      <c r="M127" s="21">
        <f t="shared" si="14"/>
        <v>2</v>
      </c>
      <c r="N127" s="5">
        <f t="shared" si="14"/>
        <v>1.6666666666666667</v>
      </c>
    </row>
    <row r="128" spans="1:14" ht="13.5" customHeight="1" x14ac:dyDescent="0.2">
      <c r="A128" s="4" t="s">
        <v>17</v>
      </c>
      <c r="B128" s="4">
        <v>1</v>
      </c>
      <c r="C128" s="14"/>
      <c r="D128" s="18">
        <v>2</v>
      </c>
      <c r="E128" s="18">
        <v>2</v>
      </c>
      <c r="F128" s="18"/>
      <c r="G128" s="18">
        <v>2</v>
      </c>
      <c r="H128" s="18">
        <v>2</v>
      </c>
      <c r="I128" s="19"/>
      <c r="J128" s="19">
        <v>2</v>
      </c>
      <c r="K128" s="19">
        <v>2</v>
      </c>
      <c r="L128" s="19" t="s">
        <v>115</v>
      </c>
      <c r="M128" s="21">
        <f t="shared" si="14"/>
        <v>2</v>
      </c>
      <c r="N128" s="5">
        <f t="shared" si="14"/>
        <v>2</v>
      </c>
    </row>
    <row r="129" spans="1:14" ht="13.5" customHeight="1" x14ac:dyDescent="0.2">
      <c r="A129" s="4" t="s">
        <v>18</v>
      </c>
      <c r="B129" s="4">
        <v>2</v>
      </c>
      <c r="C129" s="14"/>
      <c r="D129" s="18">
        <v>1</v>
      </c>
      <c r="E129" s="18">
        <v>1</v>
      </c>
      <c r="F129" s="18"/>
      <c r="G129" s="18">
        <v>1</v>
      </c>
      <c r="H129" s="18">
        <v>1</v>
      </c>
      <c r="I129" s="19"/>
      <c r="J129" s="19">
        <v>0</v>
      </c>
      <c r="K129" s="19">
        <v>2</v>
      </c>
      <c r="L129" s="19"/>
      <c r="M129" s="21">
        <f t="shared" si="14"/>
        <v>0.66666666666666663</v>
      </c>
      <c r="N129" s="5">
        <f t="shared" si="14"/>
        <v>1.3333333333333333</v>
      </c>
    </row>
    <row r="130" spans="1:14" ht="13.5" customHeight="1" x14ac:dyDescent="0.2">
      <c r="A130" s="4" t="s">
        <v>19</v>
      </c>
      <c r="B130" s="4">
        <v>2</v>
      </c>
      <c r="C130" s="14"/>
      <c r="D130" s="18">
        <v>1</v>
      </c>
      <c r="E130" s="18">
        <v>2</v>
      </c>
      <c r="F130" s="18"/>
      <c r="G130" s="18">
        <v>1</v>
      </c>
      <c r="H130" s="18">
        <v>2</v>
      </c>
      <c r="I130" s="19"/>
      <c r="J130" s="19">
        <v>2</v>
      </c>
      <c r="K130" s="19">
        <v>2</v>
      </c>
      <c r="L130" s="19" t="s">
        <v>144</v>
      </c>
      <c r="M130" s="21">
        <f t="shared" si="14"/>
        <v>1.3333333333333333</v>
      </c>
      <c r="N130" s="5">
        <f t="shared" si="14"/>
        <v>2</v>
      </c>
    </row>
    <row r="131" spans="1:14" ht="13.5" customHeight="1" x14ac:dyDescent="0.2">
      <c r="A131" s="6" t="s">
        <v>20</v>
      </c>
      <c r="B131" s="4">
        <v>3</v>
      </c>
      <c r="C131" s="14" t="s">
        <v>54</v>
      </c>
      <c r="D131" s="18"/>
      <c r="E131" s="18"/>
      <c r="F131" s="18"/>
      <c r="G131" s="18"/>
      <c r="H131" s="18"/>
      <c r="I131" s="19"/>
      <c r="J131" s="19"/>
      <c r="K131" s="19"/>
      <c r="L131" s="19"/>
    </row>
    <row r="132" spans="1:14" ht="13.5" customHeight="1" x14ac:dyDescent="0.2">
      <c r="A132" s="4" t="s">
        <v>22</v>
      </c>
      <c r="B132" s="4">
        <v>3</v>
      </c>
      <c r="C132" s="14"/>
      <c r="D132" s="18">
        <v>2</v>
      </c>
      <c r="E132" s="18">
        <v>1</v>
      </c>
      <c r="F132" s="18"/>
      <c r="G132" s="18">
        <v>1</v>
      </c>
      <c r="H132" s="18">
        <v>2</v>
      </c>
      <c r="I132" s="19" t="s">
        <v>113</v>
      </c>
      <c r="J132" s="19">
        <v>2</v>
      </c>
      <c r="K132" s="19">
        <v>2</v>
      </c>
      <c r="L132" s="19" t="s">
        <v>145</v>
      </c>
      <c r="M132" s="21">
        <f t="shared" si="14"/>
        <v>1.6666666666666667</v>
      </c>
      <c r="N132" s="5">
        <f t="shared" si="14"/>
        <v>1.6666666666666667</v>
      </c>
    </row>
    <row r="133" spans="1:14" ht="13.5" customHeight="1" x14ac:dyDescent="0.2">
      <c r="A133" s="6" t="s">
        <v>23</v>
      </c>
      <c r="B133" s="4">
        <v>2</v>
      </c>
      <c r="C133" s="14" t="s">
        <v>55</v>
      </c>
      <c r="D133" s="18"/>
      <c r="E133" s="18"/>
      <c r="F133" s="18"/>
      <c r="G133" s="18"/>
      <c r="H133" s="18"/>
      <c r="I133" s="19"/>
      <c r="J133" s="19"/>
      <c r="K133" s="19"/>
      <c r="L133" s="19"/>
    </row>
    <row r="134" spans="1:14" ht="13.5" customHeight="1" x14ac:dyDescent="0.2">
      <c r="A134" s="4" t="s">
        <v>25</v>
      </c>
      <c r="B134" s="4">
        <v>2</v>
      </c>
      <c r="C134" s="14"/>
      <c r="D134" s="18">
        <v>2</v>
      </c>
      <c r="E134" s="18">
        <v>2</v>
      </c>
      <c r="F134" s="18"/>
      <c r="G134" s="18">
        <v>1</v>
      </c>
      <c r="H134" s="18">
        <v>1</v>
      </c>
      <c r="I134" s="19"/>
      <c r="J134" s="19">
        <v>0</v>
      </c>
      <c r="K134" s="19">
        <v>2</v>
      </c>
      <c r="L134" s="19"/>
      <c r="M134" s="21">
        <f t="shared" si="14"/>
        <v>1</v>
      </c>
      <c r="N134" s="5">
        <f t="shared" si="14"/>
        <v>1.6666666666666667</v>
      </c>
    </row>
    <row r="135" spans="1:14" ht="13.5" customHeight="1" x14ac:dyDescent="0.2">
      <c r="A135" s="7" t="s">
        <v>26</v>
      </c>
      <c r="B135" s="8"/>
      <c r="C135" s="15" t="s">
        <v>56</v>
      </c>
      <c r="D135" s="18"/>
      <c r="E135" s="18"/>
      <c r="F135" s="18"/>
      <c r="G135" s="18"/>
      <c r="H135" s="18"/>
      <c r="I135" s="19"/>
      <c r="J135" s="19"/>
      <c r="K135" s="19"/>
      <c r="L135" s="19"/>
    </row>
    <row r="136" spans="1:14" ht="13.5" customHeight="1" x14ac:dyDescent="0.2">
      <c r="A136" s="4" t="s">
        <v>28</v>
      </c>
      <c r="B136" s="4">
        <v>1</v>
      </c>
      <c r="C136" s="14"/>
      <c r="D136" s="18">
        <v>1</v>
      </c>
      <c r="E136" s="18">
        <v>1</v>
      </c>
      <c r="F136" s="18"/>
      <c r="G136" s="18">
        <v>0</v>
      </c>
      <c r="H136" s="18">
        <v>1</v>
      </c>
      <c r="I136" s="19"/>
      <c r="J136" s="19">
        <v>0</v>
      </c>
      <c r="K136" s="19">
        <v>2</v>
      </c>
      <c r="L136" s="19"/>
      <c r="M136" s="21">
        <f t="shared" si="14"/>
        <v>0.33333333333333331</v>
      </c>
      <c r="N136" s="5">
        <f t="shared" si="14"/>
        <v>1.3333333333333333</v>
      </c>
    </row>
    <row r="137" spans="1:14" ht="13.5" customHeight="1" x14ac:dyDescent="0.2">
      <c r="A137" s="4" t="s">
        <v>29</v>
      </c>
      <c r="B137" s="4">
        <v>2</v>
      </c>
      <c r="C137" s="14"/>
      <c r="D137" s="18">
        <v>1</v>
      </c>
      <c r="E137" s="18">
        <v>1</v>
      </c>
      <c r="F137" s="18"/>
      <c r="G137" s="18">
        <v>0</v>
      </c>
      <c r="H137" s="18">
        <v>1</v>
      </c>
      <c r="I137" s="19"/>
      <c r="J137" s="19"/>
      <c r="K137" s="19"/>
      <c r="L137" s="19" t="s">
        <v>146</v>
      </c>
    </row>
    <row r="138" spans="1:14" ht="13.5" customHeight="1" x14ac:dyDescent="0.2">
      <c r="A138" s="4" t="s">
        <v>30</v>
      </c>
      <c r="B138" s="4">
        <v>1</v>
      </c>
      <c r="C138" s="14"/>
      <c r="D138" s="18">
        <v>2</v>
      </c>
      <c r="E138" s="18">
        <v>2</v>
      </c>
      <c r="F138" s="18"/>
      <c r="G138" s="18">
        <v>2</v>
      </c>
      <c r="H138" s="18">
        <v>2</v>
      </c>
      <c r="I138" s="19"/>
      <c r="J138" s="19">
        <v>2</v>
      </c>
      <c r="K138" s="19">
        <v>2</v>
      </c>
      <c r="L138" s="19" t="s">
        <v>115</v>
      </c>
      <c r="M138" s="21">
        <f t="shared" si="14"/>
        <v>2</v>
      </c>
      <c r="N138" s="5">
        <f t="shared" si="14"/>
        <v>2</v>
      </c>
    </row>
    <row r="139" spans="1:14" ht="13.5" customHeight="1" x14ac:dyDescent="0.2">
      <c r="A139" s="4" t="s">
        <v>31</v>
      </c>
      <c r="B139" s="4">
        <v>2</v>
      </c>
      <c r="C139" s="14"/>
      <c r="D139" s="18">
        <v>0</v>
      </c>
      <c r="E139" s="18">
        <v>2</v>
      </c>
      <c r="F139" s="18"/>
      <c r="G139" s="18">
        <v>0</v>
      </c>
      <c r="H139" s="18">
        <v>2</v>
      </c>
      <c r="I139" s="19"/>
      <c r="J139" s="19">
        <v>0</v>
      </c>
      <c r="K139" s="19">
        <v>2</v>
      </c>
      <c r="L139" s="19"/>
      <c r="M139" s="21">
        <f t="shared" si="14"/>
        <v>0</v>
      </c>
      <c r="N139" s="5">
        <f t="shared" si="14"/>
        <v>2</v>
      </c>
    </row>
    <row r="140" spans="1:14" ht="13.5" customHeight="1" x14ac:dyDescent="0.2">
      <c r="A140" s="7" t="s">
        <v>32</v>
      </c>
      <c r="B140" s="8"/>
      <c r="C140" s="15" t="s">
        <v>57</v>
      </c>
      <c r="D140" s="18"/>
      <c r="E140" s="18"/>
      <c r="F140" s="18"/>
      <c r="G140" s="18"/>
      <c r="H140" s="18"/>
      <c r="I140" s="19"/>
      <c r="J140" s="19"/>
      <c r="K140" s="19"/>
      <c r="L140" s="19"/>
    </row>
    <row r="141" spans="1:14" ht="13.5" customHeight="1" x14ac:dyDescent="0.2">
      <c r="A141" s="4" t="s">
        <v>34</v>
      </c>
      <c r="B141" s="4">
        <v>2</v>
      </c>
      <c r="C141" s="14"/>
      <c r="D141" s="18">
        <v>2</v>
      </c>
      <c r="E141" s="18">
        <v>2</v>
      </c>
      <c r="F141" s="18"/>
      <c r="G141" s="18">
        <v>0</v>
      </c>
      <c r="H141" s="18">
        <v>1</v>
      </c>
      <c r="I141" s="19"/>
      <c r="J141" s="19">
        <v>0</v>
      </c>
      <c r="K141" s="19">
        <v>2</v>
      </c>
      <c r="L141" s="19"/>
      <c r="M141" s="21">
        <f t="shared" si="14"/>
        <v>0.66666666666666663</v>
      </c>
      <c r="N141" s="5">
        <f t="shared" si="14"/>
        <v>1.6666666666666667</v>
      </c>
    </row>
    <row r="142" spans="1:14" ht="13.5" customHeight="1" x14ac:dyDescent="0.2">
      <c r="A142" s="4" t="s">
        <v>35</v>
      </c>
      <c r="B142" s="4">
        <v>2</v>
      </c>
      <c r="C142" s="14"/>
      <c r="D142" s="18">
        <v>1</v>
      </c>
      <c r="E142" s="18">
        <v>2</v>
      </c>
      <c r="F142" s="18"/>
      <c r="G142" s="18">
        <v>1</v>
      </c>
      <c r="H142" s="18">
        <v>1</v>
      </c>
      <c r="I142" s="19"/>
      <c r="J142" s="19">
        <v>2</v>
      </c>
      <c r="K142" s="19">
        <v>2</v>
      </c>
      <c r="L142" s="19" t="s">
        <v>147</v>
      </c>
      <c r="M142" s="21">
        <f t="shared" si="14"/>
        <v>1.3333333333333333</v>
      </c>
      <c r="N142" s="5">
        <f t="shared" si="14"/>
        <v>1.6666666666666667</v>
      </c>
    </row>
    <row r="143" spans="1:14" ht="13.5" customHeight="1" x14ac:dyDescent="0.2">
      <c r="A143" s="4" t="s">
        <v>36</v>
      </c>
      <c r="B143" s="4">
        <v>2</v>
      </c>
      <c r="C143" s="14"/>
      <c r="D143" s="18">
        <v>1</v>
      </c>
      <c r="E143" s="18">
        <v>2</v>
      </c>
      <c r="F143" s="18"/>
      <c r="G143" s="18">
        <v>1</v>
      </c>
      <c r="H143" s="18">
        <v>2</v>
      </c>
      <c r="I143" s="19"/>
      <c r="J143" s="19">
        <v>1</v>
      </c>
      <c r="K143" s="19">
        <v>1</v>
      </c>
      <c r="L143" s="19" t="s">
        <v>148</v>
      </c>
      <c r="M143" s="21">
        <f t="shared" si="14"/>
        <v>1</v>
      </c>
      <c r="N143" s="5">
        <f t="shared" si="14"/>
        <v>1.6666666666666667</v>
      </c>
    </row>
    <row r="144" spans="1:14" ht="13.5" customHeight="1" x14ac:dyDescent="0.2">
      <c r="A144" s="4" t="s">
        <v>37</v>
      </c>
      <c r="B144" s="9">
        <v>1</v>
      </c>
      <c r="C144" s="14"/>
      <c r="D144" s="18">
        <v>2</v>
      </c>
      <c r="E144" s="18">
        <v>2</v>
      </c>
      <c r="F144" s="18"/>
      <c r="G144" s="18">
        <v>2</v>
      </c>
      <c r="H144" s="18">
        <v>2</v>
      </c>
      <c r="I144" s="19"/>
      <c r="J144" s="19">
        <v>2</v>
      </c>
      <c r="K144" s="19">
        <v>2</v>
      </c>
      <c r="L144" s="19" t="s">
        <v>115</v>
      </c>
      <c r="M144" s="21">
        <f t="shared" si="14"/>
        <v>2</v>
      </c>
      <c r="N144" s="5">
        <f t="shared" si="14"/>
        <v>2</v>
      </c>
    </row>
    <row r="145" spans="1:14" ht="13.5" customHeight="1" x14ac:dyDescent="0.2">
      <c r="A145" s="4" t="s">
        <v>30</v>
      </c>
      <c r="B145" s="9">
        <v>1</v>
      </c>
      <c r="C145" s="14"/>
      <c r="D145" s="18">
        <v>2</v>
      </c>
      <c r="E145" s="18">
        <v>2</v>
      </c>
      <c r="F145" s="18"/>
      <c r="G145" s="18">
        <v>2</v>
      </c>
      <c r="H145" s="18">
        <v>2</v>
      </c>
      <c r="I145" s="19"/>
      <c r="J145" s="19">
        <v>2</v>
      </c>
      <c r="K145" s="19">
        <v>2</v>
      </c>
      <c r="L145" s="19" t="s">
        <v>115</v>
      </c>
      <c r="M145" s="21">
        <f t="shared" si="14"/>
        <v>2</v>
      </c>
      <c r="N145" s="5">
        <f t="shared" si="14"/>
        <v>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6"/>
  <sheetViews>
    <sheetView zoomScale="186" zoomScaleNormal="100" workbookViewId="0">
      <selection activeCell="N74" sqref="N74"/>
    </sheetView>
  </sheetViews>
  <sheetFormatPr baseColWidth="10" defaultColWidth="8.6640625" defaultRowHeight="13.5" customHeight="1" x14ac:dyDescent="0.2"/>
  <cols>
    <col min="1" max="1" width="53.83203125" style="1" customWidth="1"/>
    <col min="2" max="2" width="7" style="1" customWidth="1"/>
    <col min="3" max="3" width="10.33203125" style="12" customWidth="1"/>
    <col min="4" max="4" width="14.83203125" style="16" customWidth="1"/>
    <col min="5" max="5" width="11.83203125" style="16" customWidth="1"/>
    <col min="6" max="6" width="13.1640625" style="16" customWidth="1"/>
    <col min="7" max="7" width="14.83203125" style="5" customWidth="1"/>
    <col min="8" max="8" width="11.83203125" style="5" customWidth="1"/>
    <col min="9" max="9" width="12" style="5" customWidth="1"/>
    <col min="10" max="10" width="15" style="1" customWidth="1"/>
    <col min="11" max="11" width="12" style="1" customWidth="1"/>
    <col min="12" max="12" width="15.6640625" style="5" customWidth="1"/>
    <col min="13" max="13" width="17.6640625" style="5" customWidth="1"/>
    <col min="14" max="14" width="14.6640625" style="5" customWidth="1"/>
    <col min="15" max="15" width="26.1640625" style="5" customWidth="1"/>
    <col min="16" max="16384" width="8.6640625" style="1"/>
  </cols>
  <sheetData>
    <row r="1" spans="1:14" ht="21" customHeight="1" x14ac:dyDescent="0.25">
      <c r="A1" s="2" t="s">
        <v>156</v>
      </c>
    </row>
    <row r="2" spans="1:14" ht="15" x14ac:dyDescent="0.2">
      <c r="A2" s="1" t="s">
        <v>58</v>
      </c>
      <c r="B2" s="1" t="s">
        <v>1</v>
      </c>
      <c r="C2" s="12" t="s">
        <v>2</v>
      </c>
      <c r="D2" s="19" t="s">
        <v>3</v>
      </c>
      <c r="E2" s="19" t="s">
        <v>4</v>
      </c>
      <c r="F2" s="19" t="s">
        <v>5</v>
      </c>
      <c r="G2" s="19" t="s">
        <v>105</v>
      </c>
      <c r="H2" s="19" t="s">
        <v>106</v>
      </c>
      <c r="I2" s="19" t="s">
        <v>107</v>
      </c>
      <c r="J2" s="18" t="s">
        <v>116</v>
      </c>
      <c r="K2" s="18" t="s">
        <v>117</v>
      </c>
      <c r="L2" s="18" t="s">
        <v>118</v>
      </c>
      <c r="M2" s="22" t="s">
        <v>149</v>
      </c>
      <c r="N2" s="23" t="s">
        <v>150</v>
      </c>
    </row>
    <row r="3" spans="1:14" ht="15" x14ac:dyDescent="0.2">
      <c r="A3" s="3" t="s">
        <v>59</v>
      </c>
      <c r="B3" s="3">
        <v>3</v>
      </c>
      <c r="C3" s="12" t="s">
        <v>60</v>
      </c>
      <c r="D3" s="19"/>
      <c r="E3" s="19"/>
      <c r="F3" s="19"/>
      <c r="G3" s="19"/>
      <c r="H3" s="19"/>
      <c r="I3" s="19"/>
      <c r="J3" s="18"/>
      <c r="K3" s="18"/>
      <c r="L3" s="18"/>
    </row>
    <row r="4" spans="1:14" ht="15" x14ac:dyDescent="0.2">
      <c r="A4" s="1" t="s">
        <v>61</v>
      </c>
      <c r="B4" s="1">
        <v>3</v>
      </c>
      <c r="D4" s="19">
        <v>1</v>
      </c>
      <c r="E4" s="19">
        <v>1</v>
      </c>
      <c r="F4" s="19"/>
      <c r="G4" s="19">
        <v>0</v>
      </c>
      <c r="H4" s="19">
        <v>1</v>
      </c>
      <c r="I4" s="19"/>
      <c r="J4" s="18">
        <v>0</v>
      </c>
      <c r="K4" s="18">
        <v>2</v>
      </c>
      <c r="L4" s="18"/>
      <c r="M4" s="21">
        <f>AVERAGE(D4,G4,J4)</f>
        <v>0.33333333333333331</v>
      </c>
      <c r="N4" s="5">
        <f>AVERAGE(E4,H4,K4)</f>
        <v>1.3333333333333333</v>
      </c>
    </row>
    <row r="5" spans="1:14" ht="15" x14ac:dyDescent="0.2">
      <c r="A5" s="1" t="s">
        <v>62</v>
      </c>
      <c r="B5" s="1" t="s">
        <v>63</v>
      </c>
      <c r="D5" s="19">
        <v>1</v>
      </c>
      <c r="E5" s="19">
        <v>1</v>
      </c>
      <c r="F5" s="19"/>
      <c r="G5" s="19">
        <v>0</v>
      </c>
      <c r="H5" s="19">
        <v>1</v>
      </c>
      <c r="I5" s="19"/>
      <c r="J5" s="18">
        <v>0</v>
      </c>
      <c r="K5" s="18">
        <v>2</v>
      </c>
      <c r="L5" s="18"/>
      <c r="M5" s="21">
        <f>AVERAGE(D5,G5,J5)</f>
        <v>0.33333333333333331</v>
      </c>
      <c r="N5" s="5">
        <f>AVERAGE(E5,H5,K5)</f>
        <v>1.3333333333333333</v>
      </c>
    </row>
    <row r="6" spans="1:14" ht="15" x14ac:dyDescent="0.2">
      <c r="A6" s="1" t="s">
        <v>64</v>
      </c>
      <c r="B6" s="1">
        <v>1</v>
      </c>
      <c r="D6" s="19"/>
      <c r="E6" s="19"/>
      <c r="F6" s="19" t="s">
        <v>13</v>
      </c>
      <c r="G6" s="19">
        <v>0</v>
      </c>
      <c r="H6" s="19">
        <v>1</v>
      </c>
      <c r="I6" s="19"/>
      <c r="J6" s="18"/>
      <c r="K6" s="18"/>
      <c r="L6" s="18" t="s">
        <v>114</v>
      </c>
      <c r="M6" s="19" t="s">
        <v>13</v>
      </c>
      <c r="N6" s="19" t="s">
        <v>13</v>
      </c>
    </row>
    <row r="7" spans="1:14" ht="15" x14ac:dyDescent="0.2">
      <c r="A7" s="1" t="s">
        <v>65</v>
      </c>
      <c r="B7" s="1">
        <v>3</v>
      </c>
      <c r="D7" s="19"/>
      <c r="E7" s="19"/>
      <c r="F7" s="19" t="s">
        <v>13</v>
      </c>
      <c r="G7" s="19">
        <v>0</v>
      </c>
      <c r="H7" s="19">
        <v>1</v>
      </c>
      <c r="I7" s="19"/>
      <c r="J7" s="18"/>
      <c r="K7" s="18"/>
      <c r="L7" s="18" t="s">
        <v>114</v>
      </c>
      <c r="M7" s="19" t="s">
        <v>13</v>
      </c>
      <c r="N7" s="19" t="s">
        <v>13</v>
      </c>
    </row>
    <row r="8" spans="1:14" ht="15" x14ac:dyDescent="0.2">
      <c r="A8" s="1" t="s">
        <v>66</v>
      </c>
      <c r="B8" s="1">
        <v>3</v>
      </c>
      <c r="D8" s="19">
        <v>0</v>
      </c>
      <c r="E8" s="19">
        <v>1</v>
      </c>
      <c r="F8" s="19"/>
      <c r="G8" s="19">
        <v>0</v>
      </c>
      <c r="H8" s="19">
        <v>1</v>
      </c>
      <c r="I8" s="19"/>
      <c r="J8" s="18">
        <v>0</v>
      </c>
      <c r="K8" s="18">
        <v>2</v>
      </c>
      <c r="L8" s="18"/>
      <c r="M8" s="21">
        <f>AVERAGE(D8,G8,J8)</f>
        <v>0</v>
      </c>
      <c r="N8" s="5">
        <f>AVERAGE(E8,H8,K8)</f>
        <v>1.3333333333333333</v>
      </c>
    </row>
    <row r="9" spans="1:14" ht="15" x14ac:dyDescent="0.2">
      <c r="A9" s="1" t="s">
        <v>67</v>
      </c>
      <c r="B9" s="1">
        <v>3</v>
      </c>
      <c r="D9" s="19">
        <v>1</v>
      </c>
      <c r="E9" s="19">
        <v>1</v>
      </c>
      <c r="F9" s="19"/>
      <c r="G9" s="19"/>
      <c r="H9" s="19"/>
      <c r="I9" s="19" t="s">
        <v>13</v>
      </c>
      <c r="J9" s="18">
        <v>0</v>
      </c>
      <c r="K9" s="18">
        <v>2</v>
      </c>
      <c r="L9" s="18"/>
      <c r="M9" s="19" t="s">
        <v>13</v>
      </c>
      <c r="N9" s="19" t="s">
        <v>13</v>
      </c>
    </row>
    <row r="10" spans="1:14" ht="15" x14ac:dyDescent="0.2">
      <c r="A10" s="1" t="s">
        <v>68</v>
      </c>
      <c r="B10" s="1">
        <v>2</v>
      </c>
      <c r="D10" s="19"/>
      <c r="E10" s="19"/>
      <c r="F10" s="19" t="s">
        <v>13</v>
      </c>
      <c r="G10" s="19"/>
      <c r="H10" s="19"/>
      <c r="I10" s="19" t="s">
        <v>13</v>
      </c>
      <c r="J10" s="18"/>
      <c r="K10" s="18"/>
      <c r="L10" s="18" t="s">
        <v>13</v>
      </c>
      <c r="M10" s="19" t="s">
        <v>13</v>
      </c>
      <c r="N10" s="19" t="s">
        <v>13</v>
      </c>
    </row>
    <row r="11" spans="1:14" ht="15" x14ac:dyDescent="0.2">
      <c r="A11" s="1" t="s">
        <v>69</v>
      </c>
      <c r="B11" s="1">
        <v>2</v>
      </c>
      <c r="D11" s="19"/>
      <c r="E11" s="19"/>
      <c r="F11" s="19" t="s">
        <v>13</v>
      </c>
      <c r="G11" s="19"/>
      <c r="H11" s="19"/>
      <c r="I11" s="19" t="s">
        <v>13</v>
      </c>
      <c r="J11" s="18"/>
      <c r="K11" s="18"/>
      <c r="L11" s="18" t="s">
        <v>13</v>
      </c>
      <c r="M11" s="19" t="s">
        <v>13</v>
      </c>
      <c r="N11" s="19" t="s">
        <v>13</v>
      </c>
    </row>
    <row r="12" spans="1:14" ht="15" x14ac:dyDescent="0.2">
      <c r="A12" s="1" t="s">
        <v>70</v>
      </c>
      <c r="B12" s="1">
        <v>2</v>
      </c>
      <c r="D12" s="19"/>
      <c r="E12" s="19"/>
      <c r="F12" s="19" t="s">
        <v>13</v>
      </c>
      <c r="G12" s="19">
        <v>0</v>
      </c>
      <c r="H12" s="19">
        <v>1</v>
      </c>
      <c r="I12" s="19"/>
      <c r="J12" s="18">
        <v>1</v>
      </c>
      <c r="K12" s="18">
        <v>1</v>
      </c>
      <c r="L12" s="18" t="s">
        <v>114</v>
      </c>
      <c r="M12" s="19" t="s">
        <v>13</v>
      </c>
      <c r="N12" s="19" t="s">
        <v>13</v>
      </c>
    </row>
    <row r="13" spans="1:14" ht="15" x14ac:dyDescent="0.2">
      <c r="A13" s="1" t="s">
        <v>71</v>
      </c>
      <c r="B13" s="1">
        <v>1</v>
      </c>
      <c r="D13" s="19"/>
      <c r="E13" s="19"/>
      <c r="F13" s="19" t="s">
        <v>13</v>
      </c>
      <c r="G13" s="19"/>
      <c r="H13" s="19"/>
      <c r="I13" s="19" t="s">
        <v>13</v>
      </c>
      <c r="J13" s="18"/>
      <c r="K13" s="18"/>
      <c r="L13" s="18" t="s">
        <v>13</v>
      </c>
      <c r="M13" s="19" t="s">
        <v>13</v>
      </c>
      <c r="N13" s="19" t="s">
        <v>13</v>
      </c>
    </row>
    <row r="14" spans="1:14" ht="15" x14ac:dyDescent="0.2">
      <c r="A14" s="1" t="s">
        <v>72</v>
      </c>
      <c r="B14" s="1">
        <v>2</v>
      </c>
      <c r="D14" s="19"/>
      <c r="E14" s="19"/>
      <c r="F14" s="19" t="s">
        <v>13</v>
      </c>
      <c r="G14" s="19">
        <v>0</v>
      </c>
      <c r="H14" s="19">
        <v>1</v>
      </c>
      <c r="I14" s="19"/>
      <c r="J14" s="18">
        <v>0</v>
      </c>
      <c r="K14" s="18">
        <v>2</v>
      </c>
      <c r="L14" s="18"/>
      <c r="M14" s="19" t="s">
        <v>13</v>
      </c>
      <c r="N14" s="19" t="s">
        <v>13</v>
      </c>
    </row>
    <row r="15" spans="1:14" ht="15" x14ac:dyDescent="0.2">
      <c r="A15" s="1" t="s">
        <v>73</v>
      </c>
      <c r="B15" s="1">
        <v>1</v>
      </c>
      <c r="D15" s="19"/>
      <c r="E15" s="19"/>
      <c r="F15" s="19" t="s">
        <v>13</v>
      </c>
      <c r="G15" s="19">
        <v>0</v>
      </c>
      <c r="H15" s="19">
        <v>1</v>
      </c>
      <c r="I15" s="19"/>
      <c r="J15" s="18">
        <v>0</v>
      </c>
      <c r="K15" s="18">
        <v>2</v>
      </c>
      <c r="L15" s="18"/>
      <c r="M15" s="19" t="s">
        <v>13</v>
      </c>
      <c r="N15" s="19" t="s">
        <v>13</v>
      </c>
    </row>
    <row r="16" spans="1:14" ht="15" x14ac:dyDescent="0.2">
      <c r="A16" s="1" t="s">
        <v>74</v>
      </c>
      <c r="B16" s="1">
        <v>1</v>
      </c>
      <c r="D16" s="19"/>
      <c r="E16" s="19"/>
      <c r="F16" s="19" t="s">
        <v>13</v>
      </c>
      <c r="G16" s="19"/>
      <c r="H16" s="19"/>
      <c r="I16" s="19" t="s">
        <v>13</v>
      </c>
      <c r="J16" s="18"/>
      <c r="K16" s="18"/>
      <c r="L16" s="18" t="s">
        <v>13</v>
      </c>
      <c r="M16" s="19" t="s">
        <v>13</v>
      </c>
      <c r="N16" s="19" t="s">
        <v>13</v>
      </c>
    </row>
    <row r="17" spans="1:15" ht="15" x14ac:dyDescent="0.2">
      <c r="A17" s="1" t="s">
        <v>75</v>
      </c>
      <c r="B17" s="1">
        <v>1</v>
      </c>
      <c r="D17" s="19">
        <v>2</v>
      </c>
      <c r="E17" s="19">
        <v>2</v>
      </c>
      <c r="F17" s="19"/>
      <c r="G17" s="19">
        <v>2</v>
      </c>
      <c r="H17" s="19">
        <v>2</v>
      </c>
      <c r="I17" s="19"/>
      <c r="J17" s="18">
        <v>2</v>
      </c>
      <c r="K17" s="18">
        <v>2</v>
      </c>
      <c r="L17" s="18" t="s">
        <v>115</v>
      </c>
      <c r="M17" s="21">
        <f>AVERAGE(D17,G17,J17)</f>
        <v>2</v>
      </c>
      <c r="N17" s="5">
        <f>AVERAGE(E17,H17,K17)</f>
        <v>2</v>
      </c>
    </row>
    <row r="18" spans="1:15" ht="15" x14ac:dyDescent="0.2">
      <c r="A18" s="1" t="s">
        <v>76</v>
      </c>
      <c r="B18" s="1">
        <v>1</v>
      </c>
      <c r="D18" s="19"/>
      <c r="E18" s="19"/>
      <c r="F18" s="19" t="s">
        <v>13</v>
      </c>
      <c r="G18" s="19">
        <v>0</v>
      </c>
      <c r="H18" s="19">
        <v>1</v>
      </c>
      <c r="I18" s="19"/>
      <c r="J18" s="18">
        <v>0</v>
      </c>
      <c r="K18" s="18">
        <v>2</v>
      </c>
      <c r="L18" s="18"/>
      <c r="M18" s="19" t="s">
        <v>13</v>
      </c>
      <c r="N18" s="19" t="s">
        <v>13</v>
      </c>
    </row>
    <row r="19" spans="1:15" ht="13.5" customHeight="1" x14ac:dyDescent="0.2">
      <c r="D19" s="19"/>
      <c r="E19" s="19"/>
      <c r="F19" s="19"/>
      <c r="G19" s="19"/>
      <c r="H19" s="19"/>
      <c r="I19" s="19"/>
      <c r="J19" s="18"/>
      <c r="K19" s="18"/>
      <c r="L19" s="18"/>
      <c r="M19" s="19" t="s">
        <v>13</v>
      </c>
      <c r="N19" s="19" t="s">
        <v>13</v>
      </c>
    </row>
    <row r="20" spans="1:15" ht="15" x14ac:dyDescent="0.2">
      <c r="A20" s="3" t="s">
        <v>77</v>
      </c>
      <c r="B20" s="3">
        <v>2</v>
      </c>
      <c r="C20" s="12" t="s">
        <v>78</v>
      </c>
      <c r="D20" s="19"/>
      <c r="E20" s="19"/>
      <c r="F20" s="19"/>
      <c r="G20" s="19"/>
      <c r="H20" s="19"/>
      <c r="I20" s="19"/>
      <c r="J20" s="18"/>
      <c r="K20" s="18"/>
      <c r="L20" s="18"/>
      <c r="M20" s="19" t="s">
        <v>13</v>
      </c>
      <c r="N20" s="19" t="s">
        <v>13</v>
      </c>
    </row>
    <row r="21" spans="1:15" ht="15" x14ac:dyDescent="0.2">
      <c r="A21" s="1" t="s">
        <v>79</v>
      </c>
      <c r="B21" s="1">
        <v>2</v>
      </c>
      <c r="D21" s="19">
        <v>0</v>
      </c>
      <c r="E21" s="19">
        <v>2</v>
      </c>
      <c r="F21" s="19"/>
      <c r="G21" s="19">
        <v>0</v>
      </c>
      <c r="H21" s="19">
        <v>2</v>
      </c>
      <c r="I21" s="19"/>
      <c r="J21" s="18">
        <v>0</v>
      </c>
      <c r="K21" s="18">
        <v>2</v>
      </c>
      <c r="L21" s="18"/>
      <c r="M21" s="21">
        <f>AVERAGE(D21,G21,J21)</f>
        <v>0</v>
      </c>
      <c r="N21" s="5">
        <f>AVERAGE(E21,H21,K21)</f>
        <v>2</v>
      </c>
    </row>
    <row r="22" spans="1:15" ht="15" x14ac:dyDescent="0.2">
      <c r="A22" s="3" t="s">
        <v>23</v>
      </c>
      <c r="B22" s="3">
        <v>2</v>
      </c>
      <c r="C22" s="12" t="s">
        <v>80</v>
      </c>
      <c r="D22" s="19"/>
      <c r="E22" s="19"/>
      <c r="F22" s="19"/>
      <c r="G22" s="19"/>
      <c r="H22" s="19"/>
      <c r="I22" s="19"/>
      <c r="J22" s="18"/>
      <c r="K22" s="18"/>
      <c r="L22" s="18"/>
      <c r="M22" s="19" t="s">
        <v>13</v>
      </c>
      <c r="N22" s="19" t="s">
        <v>13</v>
      </c>
    </row>
    <row r="23" spans="1:15" ht="15" x14ac:dyDescent="0.2">
      <c r="A23" s="1" t="s">
        <v>81</v>
      </c>
      <c r="D23" s="19"/>
      <c r="E23" s="19"/>
      <c r="F23" s="19"/>
      <c r="G23" s="19"/>
      <c r="H23" s="19"/>
      <c r="I23" s="19"/>
      <c r="J23" s="18"/>
      <c r="K23" s="18"/>
      <c r="L23" s="18"/>
      <c r="M23" s="19" t="s">
        <v>13</v>
      </c>
      <c r="N23" s="19" t="s">
        <v>13</v>
      </c>
    </row>
    <row r="24" spans="1:15" ht="15" x14ac:dyDescent="0.2">
      <c r="A24" s="1" t="s">
        <v>82</v>
      </c>
      <c r="B24" s="1">
        <v>3</v>
      </c>
      <c r="D24" s="19">
        <v>0</v>
      </c>
      <c r="E24" s="19">
        <v>2</v>
      </c>
      <c r="F24" s="19"/>
      <c r="G24" s="19">
        <v>0</v>
      </c>
      <c r="H24" s="19">
        <v>2</v>
      </c>
      <c r="I24" s="19"/>
      <c r="J24" s="18">
        <v>0</v>
      </c>
      <c r="K24" s="18">
        <v>2</v>
      </c>
      <c r="L24" s="18"/>
      <c r="M24" s="21">
        <f>AVERAGE(D24,G24,J24)</f>
        <v>0</v>
      </c>
      <c r="N24" s="5">
        <f>AVERAGE(E24,H24,K24)</f>
        <v>2</v>
      </c>
    </row>
    <row r="25" spans="1:15" ht="15" x14ac:dyDescent="0.2">
      <c r="A25" s="4" t="s">
        <v>83</v>
      </c>
      <c r="B25" s="1">
        <v>2</v>
      </c>
      <c r="D25" s="19">
        <v>0</v>
      </c>
      <c r="E25" s="19">
        <v>2</v>
      </c>
      <c r="F25" s="19"/>
      <c r="G25" s="19">
        <v>0</v>
      </c>
      <c r="H25" s="19">
        <v>2</v>
      </c>
      <c r="I25" s="19"/>
      <c r="J25" s="18">
        <v>0</v>
      </c>
      <c r="K25" s="18">
        <v>2</v>
      </c>
      <c r="L25" s="18"/>
      <c r="M25" s="21">
        <f>AVERAGE(D25,G25,J25)</f>
        <v>0</v>
      </c>
      <c r="N25" s="5">
        <f>AVERAGE(E25,H25,K25)</f>
        <v>2</v>
      </c>
    </row>
    <row r="26" spans="1:15" ht="15" x14ac:dyDescent="0.2">
      <c r="A26" s="4" t="s">
        <v>84</v>
      </c>
      <c r="B26" s="1">
        <v>3</v>
      </c>
      <c r="D26" s="19"/>
      <c r="E26" s="19"/>
      <c r="F26" s="19" t="s">
        <v>13</v>
      </c>
      <c r="G26" s="19">
        <v>0</v>
      </c>
      <c r="H26" s="19">
        <v>1</v>
      </c>
      <c r="I26" s="19"/>
      <c r="J26" s="18"/>
      <c r="K26" s="18"/>
      <c r="L26" s="18" t="s">
        <v>13</v>
      </c>
      <c r="M26" s="19" t="s">
        <v>13</v>
      </c>
      <c r="N26" s="19" t="s">
        <v>13</v>
      </c>
    </row>
    <row r="27" spans="1:15" ht="15" x14ac:dyDescent="0.2">
      <c r="A27" s="4" t="s">
        <v>85</v>
      </c>
      <c r="B27" s="1">
        <v>3</v>
      </c>
      <c r="D27" s="19">
        <v>0</v>
      </c>
      <c r="E27" s="19">
        <v>2</v>
      </c>
      <c r="F27" s="19"/>
      <c r="G27" s="19">
        <v>0</v>
      </c>
      <c r="H27" s="19">
        <v>2</v>
      </c>
      <c r="I27" s="19"/>
      <c r="J27" s="18">
        <v>0</v>
      </c>
      <c r="K27" s="18">
        <v>2</v>
      </c>
      <c r="L27" s="18"/>
      <c r="M27" s="21">
        <f>AVERAGE(D27,G27,J27)</f>
        <v>0</v>
      </c>
      <c r="N27" s="5">
        <f>AVERAGE(E27,H27,K27)</f>
        <v>2</v>
      </c>
    </row>
    <row r="28" spans="1:15" ht="15" x14ac:dyDescent="0.2">
      <c r="A28" s="7" t="s">
        <v>86</v>
      </c>
      <c r="C28" s="12" t="s">
        <v>87</v>
      </c>
      <c r="D28" s="19"/>
      <c r="E28" s="19"/>
      <c r="F28" s="19"/>
      <c r="G28" s="19"/>
      <c r="H28" s="19"/>
      <c r="I28" s="19"/>
      <c r="J28" s="18"/>
      <c r="K28" s="18"/>
      <c r="L28" s="18"/>
      <c r="M28" s="19" t="s">
        <v>13</v>
      </c>
      <c r="N28" s="19" t="s">
        <v>13</v>
      </c>
    </row>
    <row r="29" spans="1:15" ht="15" x14ac:dyDescent="0.2">
      <c r="A29" s="4" t="s">
        <v>88</v>
      </c>
      <c r="B29" s="1">
        <v>2</v>
      </c>
      <c r="D29" s="19"/>
      <c r="E29" s="19"/>
      <c r="F29" s="19" t="s">
        <v>13</v>
      </c>
      <c r="G29" s="19">
        <v>0</v>
      </c>
      <c r="H29" s="19">
        <v>1</v>
      </c>
      <c r="I29" s="19"/>
      <c r="J29" s="18">
        <v>0</v>
      </c>
      <c r="K29" s="18">
        <v>2</v>
      </c>
      <c r="L29" s="18"/>
      <c r="M29" s="19" t="s">
        <v>13</v>
      </c>
      <c r="N29" s="19" t="s">
        <v>13</v>
      </c>
    </row>
    <row r="30" spans="1:15" ht="15" x14ac:dyDescent="0.2">
      <c r="A30" s="4" t="s">
        <v>84</v>
      </c>
      <c r="B30" s="1">
        <v>2</v>
      </c>
      <c r="D30" s="19"/>
      <c r="E30" s="19"/>
      <c r="F30" s="19" t="s">
        <v>13</v>
      </c>
      <c r="G30" s="19">
        <v>0</v>
      </c>
      <c r="H30" s="19">
        <v>1</v>
      </c>
      <c r="I30" s="19"/>
      <c r="J30" s="18"/>
      <c r="K30" s="18"/>
      <c r="L30" s="18" t="s">
        <v>13</v>
      </c>
      <c r="M30" s="19" t="s">
        <v>13</v>
      </c>
      <c r="N30" s="19" t="s">
        <v>13</v>
      </c>
    </row>
    <row r="31" spans="1:15" ht="15" x14ac:dyDescent="0.2">
      <c r="A31" s="4" t="s">
        <v>89</v>
      </c>
      <c r="B31" s="1">
        <v>3</v>
      </c>
      <c r="D31" s="19">
        <v>2</v>
      </c>
      <c r="E31" s="19">
        <v>2</v>
      </c>
      <c r="F31" s="19"/>
      <c r="G31" s="19">
        <v>2</v>
      </c>
      <c r="H31" s="19">
        <v>2</v>
      </c>
      <c r="I31" s="19"/>
      <c r="J31" s="18">
        <v>2</v>
      </c>
      <c r="K31" s="18">
        <v>2</v>
      </c>
      <c r="L31" s="18" t="s">
        <v>115</v>
      </c>
      <c r="M31" s="21">
        <f>AVERAGE(D31,G31,J31)</f>
        <v>2</v>
      </c>
      <c r="N31" s="5">
        <f>AVERAGE(E31,H31,K31)</f>
        <v>2</v>
      </c>
    </row>
    <row r="32" spans="1:15" s="10" customFormat="1" ht="14" x14ac:dyDescent="0.2">
      <c r="C32" s="12"/>
      <c r="D32" s="16"/>
      <c r="E32" s="16"/>
      <c r="F32" s="16"/>
      <c r="G32" s="11"/>
      <c r="H32" s="11"/>
      <c r="I32" s="11"/>
      <c r="L32" s="11"/>
      <c r="M32" s="11"/>
      <c r="N32" s="11"/>
      <c r="O32" s="11"/>
    </row>
    <row r="33" spans="1:14" ht="21" customHeight="1" x14ac:dyDescent="0.25">
      <c r="A33" s="2" t="s">
        <v>157</v>
      </c>
    </row>
    <row r="34" spans="1:14" ht="13.5" customHeight="1" x14ac:dyDescent="0.2">
      <c r="A34" s="1" t="s">
        <v>58</v>
      </c>
      <c r="B34" s="1" t="s">
        <v>1</v>
      </c>
      <c r="C34" s="12" t="s">
        <v>2</v>
      </c>
      <c r="D34" s="19" t="s">
        <v>3</v>
      </c>
      <c r="E34" s="19" t="s">
        <v>4</v>
      </c>
      <c r="F34" s="19" t="s">
        <v>5</v>
      </c>
      <c r="G34" s="19" t="s">
        <v>105</v>
      </c>
      <c r="H34" s="19" t="s">
        <v>106</v>
      </c>
      <c r="I34" s="19" t="s">
        <v>107</v>
      </c>
      <c r="J34" s="18" t="s">
        <v>116</v>
      </c>
      <c r="K34" s="18" t="s">
        <v>117</v>
      </c>
      <c r="L34" s="18" t="s">
        <v>118</v>
      </c>
    </row>
    <row r="35" spans="1:14" ht="13.5" customHeight="1" x14ac:dyDescent="0.2">
      <c r="A35" s="3" t="s">
        <v>59</v>
      </c>
      <c r="B35" s="3">
        <v>3</v>
      </c>
      <c r="C35" s="12" t="s">
        <v>90</v>
      </c>
      <c r="D35" s="19"/>
      <c r="E35" s="19"/>
      <c r="F35" s="19"/>
      <c r="G35" s="19"/>
      <c r="H35" s="19"/>
      <c r="I35" s="19"/>
      <c r="J35" s="18"/>
      <c r="K35" s="18"/>
      <c r="L35" s="18"/>
    </row>
    <row r="36" spans="1:14" ht="13.5" customHeight="1" x14ac:dyDescent="0.2">
      <c r="A36" s="1" t="s">
        <v>61</v>
      </c>
      <c r="B36" s="1">
        <v>3</v>
      </c>
      <c r="D36" s="19">
        <v>1</v>
      </c>
      <c r="E36" s="19">
        <v>1</v>
      </c>
      <c r="F36" s="19"/>
      <c r="G36" s="19">
        <v>0</v>
      </c>
      <c r="H36" s="19">
        <v>1</v>
      </c>
      <c r="I36" s="19"/>
      <c r="J36" s="18">
        <v>0</v>
      </c>
      <c r="K36" s="18">
        <v>2</v>
      </c>
      <c r="L36" s="18"/>
      <c r="M36" s="21">
        <f>AVERAGE(D36,G36,J36)</f>
        <v>0.33333333333333331</v>
      </c>
      <c r="N36" s="5">
        <f>AVERAGE(E36,H36,K36)</f>
        <v>1.3333333333333333</v>
      </c>
    </row>
    <row r="37" spans="1:14" ht="13.5" customHeight="1" x14ac:dyDescent="0.2">
      <c r="A37" s="1" t="s">
        <v>62</v>
      </c>
      <c r="B37" s="1" t="s">
        <v>63</v>
      </c>
      <c r="D37" s="19">
        <v>2</v>
      </c>
      <c r="E37" s="19">
        <v>2</v>
      </c>
      <c r="F37" s="19"/>
      <c r="G37" s="19">
        <v>2</v>
      </c>
      <c r="H37" s="19">
        <v>2</v>
      </c>
      <c r="I37" s="19"/>
      <c r="J37" s="18">
        <v>2</v>
      </c>
      <c r="K37" s="18">
        <v>2</v>
      </c>
      <c r="L37" s="18" t="s">
        <v>158</v>
      </c>
      <c r="M37" s="21">
        <f>AVERAGE(D37,G37,J37)</f>
        <v>2</v>
      </c>
      <c r="N37" s="5">
        <f>AVERAGE(E37,H37,K37)</f>
        <v>2</v>
      </c>
    </row>
    <row r="38" spans="1:14" ht="13.5" customHeight="1" x14ac:dyDescent="0.2">
      <c r="A38" s="1" t="s">
        <v>64</v>
      </c>
      <c r="B38" s="1">
        <v>1</v>
      </c>
      <c r="D38" s="19"/>
      <c r="E38" s="19"/>
      <c r="F38" s="19" t="s">
        <v>13</v>
      </c>
      <c r="G38" s="19">
        <v>1</v>
      </c>
      <c r="H38" s="19">
        <v>1</v>
      </c>
      <c r="I38" s="19"/>
      <c r="J38" s="18"/>
      <c r="K38" s="18"/>
      <c r="L38" s="18" t="s">
        <v>13</v>
      </c>
    </row>
    <row r="39" spans="1:14" ht="13.5" customHeight="1" x14ac:dyDescent="0.2">
      <c r="A39" s="1" t="s">
        <v>65</v>
      </c>
      <c r="B39" s="1">
        <v>3</v>
      </c>
      <c r="D39" s="19">
        <v>2</v>
      </c>
      <c r="E39" s="19">
        <v>1</v>
      </c>
      <c r="F39" s="19"/>
      <c r="G39" s="19">
        <v>1</v>
      </c>
      <c r="H39" s="19">
        <v>1</v>
      </c>
      <c r="I39" s="19"/>
      <c r="J39" s="18"/>
      <c r="K39" s="18"/>
      <c r="L39" s="18" t="s">
        <v>13</v>
      </c>
    </row>
    <row r="40" spans="1:14" ht="13.5" customHeight="1" x14ac:dyDescent="0.2">
      <c r="A40" s="1" t="s">
        <v>66</v>
      </c>
      <c r="B40" s="1">
        <v>3</v>
      </c>
      <c r="D40" s="19">
        <v>2</v>
      </c>
      <c r="E40" s="19">
        <v>2</v>
      </c>
      <c r="F40" s="19"/>
      <c r="G40" s="19">
        <v>1</v>
      </c>
      <c r="H40" s="19">
        <v>2</v>
      </c>
      <c r="I40" s="19"/>
      <c r="J40" s="18">
        <v>1</v>
      </c>
      <c r="K40" s="18">
        <v>1</v>
      </c>
      <c r="L40" s="18" t="s">
        <v>159</v>
      </c>
      <c r="M40" s="21">
        <f>AVERAGE(D40,G40,J40)</f>
        <v>1.3333333333333333</v>
      </c>
      <c r="N40" s="5">
        <f>AVERAGE(E40,H40,K40)</f>
        <v>1.6666666666666667</v>
      </c>
    </row>
    <row r="41" spans="1:14" ht="13.5" customHeight="1" x14ac:dyDescent="0.2">
      <c r="A41" s="1" t="s">
        <v>67</v>
      </c>
      <c r="B41" s="1">
        <v>3</v>
      </c>
      <c r="D41" s="19">
        <v>1</v>
      </c>
      <c r="E41" s="19">
        <v>1</v>
      </c>
      <c r="F41" s="19"/>
      <c r="G41" s="19">
        <v>1</v>
      </c>
      <c r="H41" s="19">
        <v>2</v>
      </c>
      <c r="I41" s="19"/>
      <c r="J41" s="18"/>
      <c r="K41" s="18"/>
      <c r="L41" s="18" t="s">
        <v>13</v>
      </c>
    </row>
    <row r="42" spans="1:14" ht="13.5" customHeight="1" x14ac:dyDescent="0.2">
      <c r="A42" s="1" t="s">
        <v>68</v>
      </c>
      <c r="B42" s="1">
        <v>2</v>
      </c>
      <c r="D42" s="19"/>
      <c r="E42" s="19"/>
      <c r="F42" s="19" t="s">
        <v>13</v>
      </c>
      <c r="G42" s="19"/>
      <c r="H42" s="19"/>
      <c r="I42" s="19" t="s">
        <v>13</v>
      </c>
      <c r="J42" s="18"/>
      <c r="K42" s="18"/>
      <c r="L42" s="18" t="s">
        <v>13</v>
      </c>
    </row>
    <row r="43" spans="1:14" ht="13.5" customHeight="1" x14ac:dyDescent="0.2">
      <c r="A43" s="1" t="s">
        <v>69</v>
      </c>
      <c r="B43" s="1">
        <v>2</v>
      </c>
      <c r="D43" s="19"/>
      <c r="E43" s="19"/>
      <c r="F43" s="19" t="s">
        <v>13</v>
      </c>
      <c r="G43" s="19"/>
      <c r="H43" s="19"/>
      <c r="I43" s="19" t="s">
        <v>13</v>
      </c>
      <c r="J43" s="18">
        <v>1</v>
      </c>
      <c r="K43" s="18">
        <v>1</v>
      </c>
      <c r="L43" s="18" t="s">
        <v>160</v>
      </c>
    </row>
    <row r="44" spans="1:14" ht="13.5" customHeight="1" x14ac:dyDescent="0.2">
      <c r="A44" s="1" t="s">
        <v>70</v>
      </c>
      <c r="B44" s="1">
        <v>2</v>
      </c>
      <c r="D44" s="19"/>
      <c r="E44" s="19"/>
      <c r="F44" s="19" t="s">
        <v>13</v>
      </c>
      <c r="G44" s="19">
        <v>0</v>
      </c>
      <c r="H44" s="19">
        <v>1</v>
      </c>
      <c r="I44" s="19"/>
      <c r="J44" s="18"/>
      <c r="K44" s="18"/>
      <c r="L44" s="18" t="s">
        <v>13</v>
      </c>
    </row>
    <row r="45" spans="1:14" ht="13.5" customHeight="1" x14ac:dyDescent="0.2">
      <c r="A45" s="1" t="s">
        <v>71</v>
      </c>
      <c r="B45" s="1">
        <v>1</v>
      </c>
      <c r="D45" s="19"/>
      <c r="E45" s="19"/>
      <c r="F45" s="19" t="s">
        <v>13</v>
      </c>
      <c r="G45" s="19"/>
      <c r="H45" s="19"/>
      <c r="I45" s="19" t="s">
        <v>13</v>
      </c>
      <c r="J45" s="18"/>
      <c r="K45" s="18"/>
      <c r="L45" s="18" t="s">
        <v>13</v>
      </c>
    </row>
    <row r="46" spans="1:14" ht="13.5" customHeight="1" x14ac:dyDescent="0.2">
      <c r="A46" s="1" t="s">
        <v>72</v>
      </c>
      <c r="B46" s="1">
        <v>2</v>
      </c>
      <c r="D46" s="19"/>
      <c r="E46" s="19"/>
      <c r="F46" s="19" t="s">
        <v>13</v>
      </c>
      <c r="G46" s="19">
        <v>1</v>
      </c>
      <c r="H46" s="19">
        <v>2</v>
      </c>
      <c r="I46" s="19"/>
      <c r="J46" s="18">
        <v>2</v>
      </c>
      <c r="K46" s="18">
        <v>2</v>
      </c>
      <c r="L46" s="18" t="s">
        <v>161</v>
      </c>
    </row>
    <row r="47" spans="1:14" ht="13.5" customHeight="1" x14ac:dyDescent="0.2">
      <c r="A47" s="1" t="s">
        <v>73</v>
      </c>
      <c r="B47" s="1">
        <v>1</v>
      </c>
      <c r="D47" s="19"/>
      <c r="E47" s="19"/>
      <c r="F47" s="19" t="s">
        <v>13</v>
      </c>
      <c r="G47" s="19">
        <v>1</v>
      </c>
      <c r="H47" s="19">
        <v>2</v>
      </c>
      <c r="I47" s="19"/>
      <c r="J47" s="18">
        <v>2</v>
      </c>
      <c r="K47" s="18">
        <v>2</v>
      </c>
      <c r="L47" s="18" t="s">
        <v>162</v>
      </c>
    </row>
    <row r="48" spans="1:14" ht="13.5" customHeight="1" x14ac:dyDescent="0.2">
      <c r="A48" s="1" t="s">
        <v>74</v>
      </c>
      <c r="B48" s="1">
        <v>1</v>
      </c>
      <c r="D48" s="19"/>
      <c r="E48" s="19"/>
      <c r="F48" s="19" t="s">
        <v>13</v>
      </c>
      <c r="G48" s="19"/>
      <c r="H48" s="19"/>
      <c r="I48" s="19" t="s">
        <v>13</v>
      </c>
      <c r="J48" s="18"/>
      <c r="K48" s="18"/>
      <c r="L48" s="18" t="s">
        <v>13</v>
      </c>
    </row>
    <row r="49" spans="1:14" ht="13.5" customHeight="1" x14ac:dyDescent="0.2">
      <c r="A49" s="1" t="s">
        <v>75</v>
      </c>
      <c r="B49" s="1">
        <v>1</v>
      </c>
      <c r="D49" s="19">
        <v>2</v>
      </c>
      <c r="E49" s="19">
        <v>2</v>
      </c>
      <c r="F49" s="19"/>
      <c r="G49" s="19">
        <v>2</v>
      </c>
      <c r="H49" s="19">
        <v>2</v>
      </c>
      <c r="I49" s="19"/>
      <c r="J49" s="18">
        <v>2</v>
      </c>
      <c r="K49" s="18">
        <v>2</v>
      </c>
      <c r="L49" s="18" t="s">
        <v>115</v>
      </c>
      <c r="M49" s="21">
        <f>AVERAGE(D49,G49,J49)</f>
        <v>2</v>
      </c>
      <c r="N49" s="5">
        <f>AVERAGE(E49,H49,K49)</f>
        <v>2</v>
      </c>
    </row>
    <row r="50" spans="1:14" ht="13.5" customHeight="1" x14ac:dyDescent="0.2">
      <c r="A50" s="1" t="s">
        <v>76</v>
      </c>
      <c r="B50" s="1">
        <v>1</v>
      </c>
      <c r="D50" s="19">
        <v>2</v>
      </c>
      <c r="E50" s="19">
        <v>2</v>
      </c>
      <c r="F50" s="19"/>
      <c r="G50" s="19">
        <v>2</v>
      </c>
      <c r="H50" s="19">
        <v>2</v>
      </c>
      <c r="I50" s="19"/>
      <c r="J50" s="18">
        <v>2</v>
      </c>
      <c r="K50" s="18">
        <v>2</v>
      </c>
      <c r="L50" s="18" t="s">
        <v>163</v>
      </c>
      <c r="M50" s="21">
        <f>AVERAGE(D50,G50,J50)</f>
        <v>2</v>
      </c>
      <c r="N50" s="5">
        <f>AVERAGE(E50,H50,K50)</f>
        <v>2</v>
      </c>
    </row>
    <row r="51" spans="1:14" ht="13.5" customHeight="1" x14ac:dyDescent="0.2">
      <c r="D51" s="19"/>
      <c r="E51" s="19"/>
      <c r="F51" s="19"/>
      <c r="G51" s="19"/>
      <c r="H51" s="19"/>
      <c r="I51" s="19"/>
      <c r="J51" s="18"/>
      <c r="K51" s="18"/>
      <c r="L51" s="18"/>
    </row>
    <row r="52" spans="1:14" ht="13.5" customHeight="1" x14ac:dyDescent="0.2">
      <c r="A52" s="3" t="s">
        <v>77</v>
      </c>
      <c r="B52" s="3">
        <v>2</v>
      </c>
      <c r="C52" s="12" t="s">
        <v>78</v>
      </c>
      <c r="D52" s="19"/>
      <c r="E52" s="19"/>
      <c r="F52" s="19"/>
      <c r="G52" s="19"/>
      <c r="H52" s="19"/>
      <c r="I52" s="19"/>
      <c r="J52" s="18"/>
      <c r="K52" s="18"/>
      <c r="L52" s="18"/>
    </row>
    <row r="53" spans="1:14" ht="13.5" customHeight="1" x14ac:dyDescent="0.2">
      <c r="A53" s="1" t="s">
        <v>79</v>
      </c>
      <c r="B53" s="1">
        <v>2</v>
      </c>
      <c r="D53" s="19">
        <v>0</v>
      </c>
      <c r="E53" s="19">
        <v>2</v>
      </c>
      <c r="F53" s="19"/>
      <c r="G53" s="19">
        <v>1</v>
      </c>
      <c r="H53" s="19">
        <v>2</v>
      </c>
      <c r="I53" s="19" t="s">
        <v>103</v>
      </c>
      <c r="J53" s="18">
        <v>0</v>
      </c>
      <c r="K53" s="18">
        <v>2</v>
      </c>
      <c r="L53" s="18"/>
      <c r="M53" s="21">
        <f>AVERAGE(D53,G53,J53)</f>
        <v>0.33333333333333331</v>
      </c>
      <c r="N53" s="5">
        <f>AVERAGE(E53,H53,K53)</f>
        <v>2</v>
      </c>
    </row>
    <row r="54" spans="1:14" ht="13.5" customHeight="1" x14ac:dyDescent="0.2">
      <c r="A54" s="3" t="s">
        <v>23</v>
      </c>
      <c r="B54" s="3">
        <v>2</v>
      </c>
      <c r="C54" s="12" t="s">
        <v>80</v>
      </c>
      <c r="D54" s="19"/>
      <c r="E54" s="19"/>
      <c r="F54" s="19"/>
      <c r="G54" s="19"/>
      <c r="H54" s="19"/>
      <c r="I54" s="19"/>
      <c r="J54" s="18"/>
      <c r="K54" s="18"/>
      <c r="L54" s="18"/>
    </row>
    <row r="55" spans="1:14" ht="13.5" customHeight="1" x14ac:dyDescent="0.2">
      <c r="A55" s="1" t="s">
        <v>81</v>
      </c>
      <c r="D55" s="19"/>
      <c r="E55" s="19"/>
      <c r="F55" s="19"/>
      <c r="G55" s="19"/>
      <c r="H55" s="19"/>
      <c r="I55" s="19"/>
      <c r="J55" s="18"/>
      <c r="K55" s="18"/>
      <c r="L55" s="18"/>
    </row>
    <row r="56" spans="1:14" ht="13.5" customHeight="1" x14ac:dyDescent="0.2">
      <c r="A56" s="1" t="s">
        <v>82</v>
      </c>
      <c r="B56" s="1">
        <v>3</v>
      </c>
      <c r="D56" s="19">
        <v>0</v>
      </c>
      <c r="E56" s="19">
        <v>2</v>
      </c>
      <c r="F56" s="19"/>
      <c r="G56" s="19">
        <v>0</v>
      </c>
      <c r="H56" s="19">
        <v>2</v>
      </c>
      <c r="I56" s="19"/>
      <c r="J56" s="18">
        <v>0</v>
      </c>
      <c r="K56" s="18">
        <v>2</v>
      </c>
      <c r="L56" s="18"/>
      <c r="M56" s="21">
        <f>AVERAGE(D56,G56,J56)</f>
        <v>0</v>
      </c>
      <c r="N56" s="5">
        <f>AVERAGE(E56,H56,K56)</f>
        <v>2</v>
      </c>
    </row>
    <row r="57" spans="1:14" ht="13.5" customHeight="1" x14ac:dyDescent="0.2">
      <c r="A57" s="4" t="s">
        <v>83</v>
      </c>
      <c r="B57" s="1">
        <v>2</v>
      </c>
      <c r="D57" s="19">
        <v>0</v>
      </c>
      <c r="E57" s="19">
        <v>2</v>
      </c>
      <c r="F57" s="19"/>
      <c r="G57" s="19">
        <v>0</v>
      </c>
      <c r="H57" s="19">
        <v>2</v>
      </c>
      <c r="I57" s="19"/>
      <c r="J57" s="18">
        <v>0</v>
      </c>
      <c r="K57" s="18">
        <v>2</v>
      </c>
      <c r="L57" s="18"/>
      <c r="M57" s="21">
        <f>AVERAGE(D57,G57,J57)</f>
        <v>0</v>
      </c>
      <c r="N57" s="5">
        <f>AVERAGE(E57,H57,K57)</f>
        <v>2</v>
      </c>
    </row>
    <row r="58" spans="1:14" ht="13.5" customHeight="1" x14ac:dyDescent="0.2">
      <c r="A58" s="4" t="s">
        <v>84</v>
      </c>
      <c r="B58" s="1">
        <v>3</v>
      </c>
      <c r="D58" s="19">
        <v>2</v>
      </c>
      <c r="E58" s="19">
        <v>2</v>
      </c>
      <c r="F58" s="19"/>
      <c r="G58" s="19">
        <v>1</v>
      </c>
      <c r="H58" s="19">
        <v>1</v>
      </c>
      <c r="I58" s="19"/>
      <c r="J58" s="18">
        <v>1</v>
      </c>
      <c r="K58" s="18">
        <v>1</v>
      </c>
      <c r="L58" s="18" t="s">
        <v>164</v>
      </c>
      <c r="M58" s="21">
        <f>AVERAGE(D58,G58,J58)</f>
        <v>1.3333333333333333</v>
      </c>
      <c r="N58" s="5">
        <f>AVERAGE(E58,H58,K58)</f>
        <v>1.3333333333333333</v>
      </c>
    </row>
    <row r="59" spans="1:14" ht="13.5" customHeight="1" x14ac:dyDescent="0.2">
      <c r="A59" s="4" t="s">
        <v>85</v>
      </c>
      <c r="B59" s="1">
        <v>3</v>
      </c>
      <c r="D59" s="19">
        <v>0</v>
      </c>
      <c r="E59" s="19">
        <v>2</v>
      </c>
      <c r="F59" s="19"/>
      <c r="G59" s="19">
        <v>0</v>
      </c>
      <c r="H59" s="19">
        <v>2</v>
      </c>
      <c r="I59" s="19"/>
      <c r="J59" s="18">
        <v>0</v>
      </c>
      <c r="K59" s="18">
        <v>2</v>
      </c>
      <c r="L59" s="18"/>
      <c r="M59" s="21">
        <f>AVERAGE(D59,G59,J59)</f>
        <v>0</v>
      </c>
      <c r="N59" s="5">
        <f>AVERAGE(E59,H59,K59)</f>
        <v>2</v>
      </c>
    </row>
    <row r="60" spans="1:14" ht="13.5" customHeight="1" x14ac:dyDescent="0.2">
      <c r="A60" s="7" t="s">
        <v>86</v>
      </c>
      <c r="C60" s="12" t="s">
        <v>87</v>
      </c>
      <c r="D60" s="19"/>
      <c r="E60" s="19"/>
      <c r="F60" s="19"/>
      <c r="G60" s="19"/>
      <c r="H60" s="19"/>
      <c r="I60" s="19"/>
      <c r="J60" s="18"/>
      <c r="K60" s="18"/>
      <c r="L60" s="18"/>
    </row>
    <row r="61" spans="1:14" ht="13.5" customHeight="1" x14ac:dyDescent="0.2">
      <c r="A61" s="4" t="s">
        <v>88</v>
      </c>
      <c r="B61" s="1">
        <v>2</v>
      </c>
      <c r="D61" s="19"/>
      <c r="E61" s="19"/>
      <c r="F61" s="19" t="s">
        <v>13</v>
      </c>
      <c r="G61" s="19">
        <v>0</v>
      </c>
      <c r="H61" s="19">
        <v>1</v>
      </c>
      <c r="I61" s="19"/>
      <c r="J61" s="18">
        <v>1</v>
      </c>
      <c r="K61" s="18">
        <v>1</v>
      </c>
      <c r="L61" s="18" t="s">
        <v>165</v>
      </c>
      <c r="M61" s="21"/>
    </row>
    <row r="62" spans="1:14" ht="13.5" customHeight="1" x14ac:dyDescent="0.2">
      <c r="A62" s="4" t="s">
        <v>84</v>
      </c>
      <c r="B62" s="1">
        <v>2</v>
      </c>
      <c r="D62" s="19">
        <v>2</v>
      </c>
      <c r="E62" s="19">
        <v>2</v>
      </c>
      <c r="F62" s="19"/>
      <c r="G62" s="19">
        <v>1</v>
      </c>
      <c r="H62" s="19">
        <v>1</v>
      </c>
      <c r="I62" s="19"/>
      <c r="J62" s="18">
        <v>2</v>
      </c>
      <c r="K62" s="18">
        <v>2</v>
      </c>
      <c r="L62" s="18" t="s">
        <v>166</v>
      </c>
      <c r="M62" s="21">
        <f>AVERAGE(D62,G62,J62)</f>
        <v>1.6666666666666667</v>
      </c>
      <c r="N62" s="5">
        <f>AVERAGE(E62,H62,K62)</f>
        <v>1.6666666666666667</v>
      </c>
    </row>
    <row r="63" spans="1:14" ht="13.5" customHeight="1" x14ac:dyDescent="0.2">
      <c r="A63" s="4" t="s">
        <v>89</v>
      </c>
      <c r="B63" s="1">
        <v>3</v>
      </c>
      <c r="D63" s="19">
        <v>2</v>
      </c>
      <c r="E63" s="19">
        <v>2</v>
      </c>
      <c r="F63" s="19"/>
      <c r="G63" s="19">
        <v>2</v>
      </c>
      <c r="H63" s="19">
        <v>2</v>
      </c>
      <c r="I63" s="19"/>
      <c r="J63" s="18">
        <v>2</v>
      </c>
      <c r="K63" s="18">
        <v>2</v>
      </c>
      <c r="L63" s="18" t="s">
        <v>115</v>
      </c>
      <c r="M63" s="21">
        <f>AVERAGE(D63,G63,J63)</f>
        <v>2</v>
      </c>
      <c r="N63" s="5">
        <f>AVERAGE(E63,H63,K63)</f>
        <v>2</v>
      </c>
    </row>
    <row r="64" spans="1:14" ht="26" customHeight="1" x14ac:dyDescent="0.25">
      <c r="A64" s="2" t="s">
        <v>153</v>
      </c>
    </row>
    <row r="65" spans="1:14" ht="13.5" customHeight="1" x14ac:dyDescent="0.2">
      <c r="A65" s="1" t="s">
        <v>58</v>
      </c>
      <c r="B65" s="1" t="s">
        <v>1</v>
      </c>
      <c r="C65" s="12" t="s">
        <v>2</v>
      </c>
      <c r="D65" s="19" t="s">
        <v>3</v>
      </c>
      <c r="E65" s="19" t="s">
        <v>4</v>
      </c>
      <c r="F65" s="19" t="s">
        <v>5</v>
      </c>
      <c r="G65" s="19" t="s">
        <v>105</v>
      </c>
      <c r="H65" s="19" t="s">
        <v>106</v>
      </c>
      <c r="I65" s="19" t="s">
        <v>107</v>
      </c>
      <c r="J65" s="18" t="s">
        <v>116</v>
      </c>
      <c r="K65" s="18" t="s">
        <v>117</v>
      </c>
      <c r="L65" s="18" t="s">
        <v>118</v>
      </c>
    </row>
    <row r="66" spans="1:14" ht="13.5" customHeight="1" x14ac:dyDescent="0.2">
      <c r="A66" s="3" t="s">
        <v>59</v>
      </c>
      <c r="B66" s="3">
        <v>3</v>
      </c>
      <c r="C66" s="12" t="s">
        <v>91</v>
      </c>
      <c r="D66" s="19"/>
      <c r="E66" s="19"/>
      <c r="F66" s="19"/>
      <c r="G66" s="19"/>
      <c r="H66" s="19"/>
      <c r="I66" s="19"/>
      <c r="J66" s="18"/>
      <c r="K66" s="18"/>
      <c r="L66" s="18"/>
    </row>
    <row r="67" spans="1:14" ht="13.5" customHeight="1" x14ac:dyDescent="0.2">
      <c r="A67" s="1" t="s">
        <v>61</v>
      </c>
      <c r="B67" s="1">
        <v>3</v>
      </c>
      <c r="D67" s="19">
        <v>1</v>
      </c>
      <c r="E67" s="19">
        <v>2</v>
      </c>
      <c r="F67" s="19"/>
      <c r="G67" s="19">
        <v>1</v>
      </c>
      <c r="H67" s="19">
        <v>1</v>
      </c>
      <c r="I67" s="19"/>
      <c r="J67" s="18">
        <v>0</v>
      </c>
      <c r="K67" s="18">
        <v>2</v>
      </c>
      <c r="L67" s="18"/>
      <c r="M67" s="21">
        <f>AVERAGE(D67,G67,J67)</f>
        <v>0.66666666666666663</v>
      </c>
      <c r="N67" s="5">
        <f>AVERAGE(E67,H67,K67)</f>
        <v>1.6666666666666667</v>
      </c>
    </row>
    <row r="68" spans="1:14" ht="13.5" customHeight="1" x14ac:dyDescent="0.2">
      <c r="A68" s="1" t="s">
        <v>62</v>
      </c>
      <c r="B68" s="1" t="s">
        <v>63</v>
      </c>
      <c r="D68" s="19">
        <v>1</v>
      </c>
      <c r="E68" s="19">
        <v>1</v>
      </c>
      <c r="F68" s="19"/>
      <c r="G68" s="19">
        <v>0</v>
      </c>
      <c r="H68" s="19">
        <v>1</v>
      </c>
      <c r="I68" s="19"/>
      <c r="J68" s="18">
        <v>0</v>
      </c>
      <c r="K68" s="18">
        <v>2</v>
      </c>
      <c r="L68" s="18"/>
      <c r="M68" s="21">
        <f>AVERAGE(D68,G68,J68)</f>
        <v>0.33333333333333331</v>
      </c>
      <c r="N68" s="5">
        <f>AVERAGE(E68,H68,K68)</f>
        <v>1.3333333333333333</v>
      </c>
    </row>
    <row r="69" spans="1:14" ht="13.5" customHeight="1" x14ac:dyDescent="0.2">
      <c r="A69" s="1" t="s">
        <v>64</v>
      </c>
      <c r="B69" s="1">
        <v>1</v>
      </c>
      <c r="D69" s="19"/>
      <c r="E69" s="19"/>
      <c r="F69" s="19" t="s">
        <v>13</v>
      </c>
      <c r="G69" s="19">
        <v>0</v>
      </c>
      <c r="H69" s="19">
        <v>1</v>
      </c>
      <c r="I69" s="19"/>
      <c r="J69" s="18"/>
      <c r="K69" s="18"/>
      <c r="L69" s="18" t="s">
        <v>13</v>
      </c>
    </row>
    <row r="70" spans="1:14" ht="13.5" customHeight="1" x14ac:dyDescent="0.2">
      <c r="A70" s="1" t="s">
        <v>65</v>
      </c>
      <c r="B70" s="1">
        <v>3</v>
      </c>
      <c r="D70" s="19"/>
      <c r="E70" s="19"/>
      <c r="F70" s="19" t="s">
        <v>13</v>
      </c>
      <c r="G70" s="19">
        <v>0</v>
      </c>
      <c r="H70" s="19">
        <v>1</v>
      </c>
      <c r="I70" s="19"/>
      <c r="J70" s="18"/>
      <c r="K70" s="18"/>
      <c r="L70" s="18" t="s">
        <v>13</v>
      </c>
    </row>
    <row r="71" spans="1:14" ht="13.5" customHeight="1" x14ac:dyDescent="0.2">
      <c r="A71" s="1" t="s">
        <v>66</v>
      </c>
      <c r="B71" s="1">
        <v>3</v>
      </c>
      <c r="D71" s="19">
        <v>1</v>
      </c>
      <c r="E71" s="19">
        <v>1</v>
      </c>
      <c r="F71" s="19"/>
      <c r="G71" s="19">
        <v>0</v>
      </c>
      <c r="H71" s="19">
        <v>1</v>
      </c>
      <c r="I71" s="19"/>
      <c r="J71" s="18">
        <v>0</v>
      </c>
      <c r="K71" s="18">
        <v>2</v>
      </c>
      <c r="L71" s="18"/>
      <c r="M71" s="21">
        <f>AVERAGE(D71,G71,J71)</f>
        <v>0.33333333333333331</v>
      </c>
      <c r="N71" s="5">
        <f>AVERAGE(E71,H71,K71)</f>
        <v>1.3333333333333333</v>
      </c>
    </row>
    <row r="72" spans="1:14" ht="13.5" customHeight="1" x14ac:dyDescent="0.2">
      <c r="A72" s="1" t="s">
        <v>67</v>
      </c>
      <c r="B72" s="1">
        <v>3</v>
      </c>
      <c r="D72" s="19">
        <v>1</v>
      </c>
      <c r="E72" s="19">
        <v>1</v>
      </c>
      <c r="F72" s="19"/>
      <c r="G72" s="19"/>
      <c r="H72" s="19"/>
      <c r="I72" s="19" t="s">
        <v>13</v>
      </c>
      <c r="J72" s="18">
        <v>1</v>
      </c>
      <c r="K72" s="18">
        <v>1</v>
      </c>
      <c r="L72" s="18" t="s">
        <v>167</v>
      </c>
      <c r="M72" s="21"/>
    </row>
    <row r="73" spans="1:14" ht="13.5" customHeight="1" x14ac:dyDescent="0.2">
      <c r="A73" s="1" t="s">
        <v>68</v>
      </c>
      <c r="B73" s="1">
        <v>2</v>
      </c>
      <c r="D73" s="19"/>
      <c r="E73" s="19"/>
      <c r="F73" s="19" t="s">
        <v>13</v>
      </c>
      <c r="G73" s="19"/>
      <c r="H73" s="19"/>
      <c r="I73" s="19" t="s">
        <v>13</v>
      </c>
      <c r="J73" s="18"/>
      <c r="K73" s="18"/>
      <c r="L73" s="18" t="s">
        <v>13</v>
      </c>
    </row>
    <row r="74" spans="1:14" ht="13.5" customHeight="1" x14ac:dyDescent="0.2">
      <c r="A74" s="1" t="s">
        <v>69</v>
      </c>
      <c r="B74" s="1">
        <v>2</v>
      </c>
      <c r="D74" s="19"/>
      <c r="E74" s="19"/>
      <c r="F74" s="19" t="s">
        <v>13</v>
      </c>
      <c r="G74" s="19"/>
      <c r="H74" s="19"/>
      <c r="I74" s="19" t="s">
        <v>13</v>
      </c>
      <c r="J74" s="18"/>
      <c r="K74" s="18"/>
      <c r="L74" s="18" t="s">
        <v>13</v>
      </c>
    </row>
    <row r="75" spans="1:14" ht="13.5" customHeight="1" x14ac:dyDescent="0.2">
      <c r="A75" s="1" t="s">
        <v>70</v>
      </c>
      <c r="B75" s="1">
        <v>2</v>
      </c>
      <c r="D75" s="19"/>
      <c r="E75" s="19"/>
      <c r="F75" s="19" t="s">
        <v>13</v>
      </c>
      <c r="G75" s="19"/>
      <c r="H75" s="19"/>
      <c r="I75" s="19" t="s">
        <v>13</v>
      </c>
      <c r="J75" s="18">
        <v>1</v>
      </c>
      <c r="K75" s="18">
        <v>1</v>
      </c>
      <c r="L75" s="18" t="s">
        <v>168</v>
      </c>
      <c r="M75" s="21"/>
    </row>
    <row r="76" spans="1:14" ht="13.5" customHeight="1" x14ac:dyDescent="0.2">
      <c r="A76" s="1" t="s">
        <v>71</v>
      </c>
      <c r="B76" s="1">
        <v>1</v>
      </c>
      <c r="D76" s="19"/>
      <c r="E76" s="19"/>
      <c r="F76" s="19" t="s">
        <v>13</v>
      </c>
      <c r="G76" s="19"/>
      <c r="H76" s="19"/>
      <c r="I76" s="19" t="s">
        <v>13</v>
      </c>
      <c r="J76" s="18"/>
      <c r="K76" s="18"/>
      <c r="L76" s="18" t="s">
        <v>13</v>
      </c>
    </row>
    <row r="77" spans="1:14" ht="13.5" customHeight="1" x14ac:dyDescent="0.2">
      <c r="A77" s="1" t="s">
        <v>72</v>
      </c>
      <c r="B77" s="1">
        <v>2</v>
      </c>
      <c r="D77" s="19"/>
      <c r="E77" s="19"/>
      <c r="F77" s="19" t="s">
        <v>13</v>
      </c>
      <c r="G77" s="19">
        <v>1</v>
      </c>
      <c r="H77" s="19">
        <v>1</v>
      </c>
      <c r="I77" s="19"/>
      <c r="J77" s="18">
        <v>0</v>
      </c>
      <c r="K77" s="18">
        <v>2</v>
      </c>
      <c r="L77" s="18"/>
    </row>
    <row r="78" spans="1:14" ht="13.5" customHeight="1" x14ac:dyDescent="0.2">
      <c r="A78" s="1" t="s">
        <v>73</v>
      </c>
      <c r="B78" s="1">
        <v>1</v>
      </c>
      <c r="D78" s="19"/>
      <c r="E78" s="19"/>
      <c r="F78" s="19" t="s">
        <v>13</v>
      </c>
      <c r="G78" s="19">
        <v>0</v>
      </c>
      <c r="H78" s="19">
        <v>1</v>
      </c>
      <c r="I78" s="19"/>
      <c r="J78" s="18">
        <v>0</v>
      </c>
      <c r="K78" s="18">
        <v>2</v>
      </c>
      <c r="L78" s="18"/>
    </row>
    <row r="79" spans="1:14" ht="13.5" customHeight="1" x14ac:dyDescent="0.2">
      <c r="A79" s="1" t="s">
        <v>74</v>
      </c>
      <c r="B79" s="1">
        <v>1</v>
      </c>
      <c r="D79" s="19"/>
      <c r="E79" s="19"/>
      <c r="F79" s="19" t="s">
        <v>13</v>
      </c>
      <c r="G79" s="19"/>
      <c r="H79" s="19"/>
      <c r="I79" s="19" t="s">
        <v>13</v>
      </c>
      <c r="J79" s="18"/>
      <c r="K79" s="18"/>
      <c r="L79" s="18" t="s">
        <v>13</v>
      </c>
    </row>
    <row r="80" spans="1:14" ht="13.5" customHeight="1" x14ac:dyDescent="0.2">
      <c r="A80" s="1" t="s">
        <v>75</v>
      </c>
      <c r="B80" s="1">
        <v>1</v>
      </c>
      <c r="D80" s="19">
        <v>2</v>
      </c>
      <c r="E80" s="19">
        <v>2</v>
      </c>
      <c r="F80" s="19"/>
      <c r="G80" s="19">
        <v>2</v>
      </c>
      <c r="H80" s="19">
        <v>2</v>
      </c>
      <c r="I80" s="19"/>
      <c r="J80" s="18">
        <v>2</v>
      </c>
      <c r="K80" s="18">
        <v>2</v>
      </c>
      <c r="L80" s="18" t="s">
        <v>115</v>
      </c>
      <c r="M80" s="21">
        <f>AVERAGE(D80,G80,J80)</f>
        <v>2</v>
      </c>
      <c r="N80" s="5">
        <f>AVERAGE(E80,H80,K80)</f>
        <v>2</v>
      </c>
    </row>
    <row r="81" spans="1:14" ht="13.5" customHeight="1" x14ac:dyDescent="0.2">
      <c r="A81" s="1" t="s">
        <v>76</v>
      </c>
      <c r="B81" s="1">
        <v>1</v>
      </c>
      <c r="D81" s="19">
        <v>1</v>
      </c>
      <c r="E81" s="19">
        <v>1</v>
      </c>
      <c r="F81" s="19"/>
      <c r="G81" s="19">
        <v>0</v>
      </c>
      <c r="H81" s="19">
        <v>1</v>
      </c>
      <c r="I81" s="19"/>
      <c r="J81" s="18">
        <v>0</v>
      </c>
      <c r="K81" s="18">
        <v>2</v>
      </c>
      <c r="L81" s="18"/>
      <c r="M81" s="21">
        <f>AVERAGE(D81,G81,J81)</f>
        <v>0.33333333333333331</v>
      </c>
      <c r="N81" s="5">
        <f>AVERAGE(E81,H81,K81)</f>
        <v>1.3333333333333333</v>
      </c>
    </row>
    <row r="82" spans="1:14" ht="13.5" customHeight="1" x14ac:dyDescent="0.2">
      <c r="D82" s="19"/>
      <c r="E82" s="19"/>
      <c r="F82" s="19"/>
      <c r="G82" s="19"/>
      <c r="H82" s="19"/>
      <c r="I82" s="19"/>
      <c r="J82" s="18"/>
      <c r="K82" s="18"/>
      <c r="L82" s="18"/>
    </row>
    <row r="83" spans="1:14" ht="13.5" customHeight="1" x14ac:dyDescent="0.2">
      <c r="A83" s="3" t="s">
        <v>77</v>
      </c>
      <c r="B83" s="3">
        <v>2</v>
      </c>
      <c r="C83" s="12" t="s">
        <v>92</v>
      </c>
      <c r="D83" s="19"/>
      <c r="E83" s="19"/>
      <c r="F83" s="19"/>
      <c r="G83" s="19"/>
      <c r="H83" s="19"/>
      <c r="I83" s="19"/>
      <c r="J83" s="18"/>
      <c r="K83" s="18"/>
      <c r="L83" s="18"/>
    </row>
    <row r="84" spans="1:14" ht="13.5" customHeight="1" x14ac:dyDescent="0.2">
      <c r="A84" s="1" t="s">
        <v>79</v>
      </c>
      <c r="B84" s="1">
        <v>2</v>
      </c>
      <c r="D84" s="19">
        <v>0</v>
      </c>
      <c r="E84" s="19">
        <v>2</v>
      </c>
      <c r="F84" s="19"/>
      <c r="G84" s="19">
        <v>0</v>
      </c>
      <c r="H84" s="19">
        <v>2</v>
      </c>
      <c r="I84" s="19"/>
      <c r="J84" s="18">
        <v>0</v>
      </c>
      <c r="K84" s="18">
        <v>2</v>
      </c>
      <c r="L84" s="18"/>
      <c r="M84" s="21">
        <f>AVERAGE(D84,G84,J84)</f>
        <v>0</v>
      </c>
      <c r="N84" s="5">
        <f>AVERAGE(E84,H84,K84)</f>
        <v>2</v>
      </c>
    </row>
    <row r="85" spans="1:14" ht="13.5" customHeight="1" x14ac:dyDescent="0.2">
      <c r="A85" s="3" t="s">
        <v>23</v>
      </c>
      <c r="B85" s="3">
        <v>2</v>
      </c>
      <c r="C85" s="12" t="s">
        <v>93</v>
      </c>
      <c r="D85" s="19"/>
      <c r="E85" s="19"/>
      <c r="F85" s="19"/>
      <c r="G85" s="19"/>
      <c r="H85" s="19"/>
      <c r="I85" s="19"/>
      <c r="J85" s="18"/>
      <c r="K85" s="18"/>
      <c r="L85" s="18"/>
    </row>
    <row r="86" spans="1:14" ht="13.5" customHeight="1" x14ac:dyDescent="0.2">
      <c r="A86" s="1" t="s">
        <v>81</v>
      </c>
      <c r="D86" s="19"/>
      <c r="E86" s="19"/>
      <c r="F86" s="19"/>
      <c r="G86" s="19"/>
      <c r="H86" s="19"/>
      <c r="I86" s="19"/>
      <c r="J86" s="18"/>
      <c r="K86" s="18"/>
      <c r="L86" s="18"/>
    </row>
    <row r="87" spans="1:14" ht="13.5" customHeight="1" x14ac:dyDescent="0.2">
      <c r="A87" s="1" t="s">
        <v>82</v>
      </c>
      <c r="B87" s="1">
        <v>3</v>
      </c>
      <c r="D87" s="19">
        <v>0</v>
      </c>
      <c r="E87" s="19">
        <v>2</v>
      </c>
      <c r="F87" s="19"/>
      <c r="G87" s="19">
        <v>0</v>
      </c>
      <c r="H87" s="19">
        <v>2</v>
      </c>
      <c r="I87" s="19"/>
      <c r="J87" s="18">
        <v>0</v>
      </c>
      <c r="K87" s="18">
        <v>2</v>
      </c>
      <c r="L87" s="18"/>
      <c r="M87" s="21">
        <f>AVERAGE(D87,G87,J87)</f>
        <v>0</v>
      </c>
      <c r="N87" s="5">
        <f>AVERAGE(E87,H87,K87)</f>
        <v>2</v>
      </c>
    </row>
    <row r="88" spans="1:14" ht="13.5" customHeight="1" x14ac:dyDescent="0.2">
      <c r="A88" s="4" t="s">
        <v>83</v>
      </c>
      <c r="B88" s="1">
        <v>2</v>
      </c>
      <c r="D88" s="19">
        <v>1</v>
      </c>
      <c r="E88" s="19">
        <v>2</v>
      </c>
      <c r="F88" s="19"/>
      <c r="G88" s="19">
        <v>0</v>
      </c>
      <c r="H88" s="19">
        <v>2</v>
      </c>
      <c r="I88" s="19"/>
      <c r="J88" s="18">
        <v>0</v>
      </c>
      <c r="K88" s="18">
        <v>2</v>
      </c>
      <c r="L88" s="18"/>
      <c r="M88" s="21">
        <f>AVERAGE(D88,G88,J88)</f>
        <v>0.33333333333333331</v>
      </c>
      <c r="N88" s="5">
        <f>AVERAGE(E88,H88,K88)</f>
        <v>2</v>
      </c>
    </row>
    <row r="89" spans="1:14" ht="13.5" customHeight="1" x14ac:dyDescent="0.2">
      <c r="A89" s="4" t="s">
        <v>84</v>
      </c>
      <c r="B89" s="1">
        <v>3</v>
      </c>
      <c r="D89" s="19"/>
      <c r="E89" s="19"/>
      <c r="F89" s="19" t="s">
        <v>13</v>
      </c>
      <c r="G89" s="19">
        <v>0</v>
      </c>
      <c r="H89" s="19">
        <v>1</v>
      </c>
      <c r="I89" s="19"/>
      <c r="J89" s="18"/>
      <c r="K89" s="18"/>
      <c r="L89" s="18" t="s">
        <v>13</v>
      </c>
    </row>
    <row r="90" spans="1:14" ht="13.5" customHeight="1" x14ac:dyDescent="0.2">
      <c r="A90" s="4" t="s">
        <v>85</v>
      </c>
      <c r="B90" s="1">
        <v>3</v>
      </c>
      <c r="D90" s="19">
        <v>0</v>
      </c>
      <c r="E90" s="19">
        <v>2</v>
      </c>
      <c r="F90" s="19"/>
      <c r="G90" s="19">
        <v>0</v>
      </c>
      <c r="H90" s="19">
        <v>2</v>
      </c>
      <c r="I90" s="19"/>
      <c r="J90" s="18">
        <v>0</v>
      </c>
      <c r="K90" s="18">
        <v>2</v>
      </c>
      <c r="L90" s="18"/>
      <c r="M90" s="21">
        <f>AVERAGE(D90,G90,J90)</f>
        <v>0</v>
      </c>
      <c r="N90" s="5">
        <f>AVERAGE(E90,H90,K90)</f>
        <v>2</v>
      </c>
    </row>
    <row r="91" spans="1:14" ht="13.5" customHeight="1" x14ac:dyDescent="0.2">
      <c r="A91" s="7" t="s">
        <v>86</v>
      </c>
      <c r="C91" s="12" t="s">
        <v>94</v>
      </c>
      <c r="D91" s="19"/>
      <c r="E91" s="19"/>
      <c r="F91" s="19"/>
      <c r="G91" s="19"/>
      <c r="H91" s="19"/>
      <c r="I91" s="19"/>
      <c r="J91" s="18"/>
      <c r="K91" s="18"/>
      <c r="L91" s="18"/>
    </row>
    <row r="92" spans="1:14" ht="13.5" customHeight="1" x14ac:dyDescent="0.2">
      <c r="A92" s="4" t="s">
        <v>88</v>
      </c>
      <c r="B92" s="1">
        <v>2</v>
      </c>
      <c r="D92" s="19">
        <v>1</v>
      </c>
      <c r="E92" s="19">
        <v>1</v>
      </c>
      <c r="F92" s="19"/>
      <c r="G92" s="19">
        <v>0</v>
      </c>
      <c r="H92" s="19">
        <v>1</v>
      </c>
      <c r="I92" s="19"/>
      <c r="J92" s="18">
        <v>0</v>
      </c>
      <c r="K92" s="18">
        <v>2</v>
      </c>
      <c r="L92" s="18"/>
      <c r="M92" s="21">
        <f>AVERAGE(D92,G92,J92)</f>
        <v>0.33333333333333331</v>
      </c>
      <c r="N92" s="5">
        <f>AVERAGE(E92,H92,K92)</f>
        <v>1.3333333333333333</v>
      </c>
    </row>
    <row r="93" spans="1:14" ht="13.5" customHeight="1" x14ac:dyDescent="0.2">
      <c r="A93" s="4" t="s">
        <v>84</v>
      </c>
      <c r="B93" s="1">
        <v>2</v>
      </c>
      <c r="D93" s="19"/>
      <c r="E93" s="19"/>
      <c r="F93" s="19" t="s">
        <v>13</v>
      </c>
      <c r="G93" s="19">
        <v>0</v>
      </c>
      <c r="H93" s="19">
        <v>1</v>
      </c>
      <c r="I93" s="19"/>
      <c r="J93" s="18"/>
      <c r="K93" s="18"/>
      <c r="L93" s="18" t="s">
        <v>13</v>
      </c>
    </row>
    <row r="94" spans="1:14" ht="13.5" customHeight="1" x14ac:dyDescent="0.2">
      <c r="A94" s="4" t="s">
        <v>89</v>
      </c>
      <c r="B94" s="1">
        <v>3</v>
      </c>
      <c r="D94" s="19">
        <v>2</v>
      </c>
      <c r="E94" s="19">
        <v>2</v>
      </c>
      <c r="F94" s="19"/>
      <c r="G94" s="19">
        <v>2</v>
      </c>
      <c r="H94" s="19">
        <v>2</v>
      </c>
      <c r="I94" s="19"/>
      <c r="J94" s="18">
        <v>2</v>
      </c>
      <c r="K94" s="18">
        <v>2</v>
      </c>
      <c r="L94" s="18" t="s">
        <v>115</v>
      </c>
      <c r="M94" s="21">
        <f>AVERAGE(D94,G94,J94)</f>
        <v>2</v>
      </c>
      <c r="N94" s="5">
        <f>AVERAGE(E94,H94,K94)</f>
        <v>2</v>
      </c>
    </row>
    <row r="95" spans="1:14" ht="23" customHeight="1" x14ac:dyDescent="0.25">
      <c r="A95" s="2" t="s">
        <v>154</v>
      </c>
    </row>
    <row r="96" spans="1:14" ht="13.5" customHeight="1" x14ac:dyDescent="0.2">
      <c r="A96" s="1" t="s">
        <v>58</v>
      </c>
      <c r="B96" s="1" t="s">
        <v>1</v>
      </c>
      <c r="C96" s="12" t="s">
        <v>2</v>
      </c>
      <c r="D96" s="19" t="s">
        <v>3</v>
      </c>
      <c r="E96" s="19" t="s">
        <v>4</v>
      </c>
      <c r="F96" s="19" t="s">
        <v>5</v>
      </c>
      <c r="G96" s="19" t="s">
        <v>105</v>
      </c>
      <c r="H96" s="19" t="s">
        <v>106</v>
      </c>
      <c r="I96" s="19" t="s">
        <v>107</v>
      </c>
      <c r="J96" s="18" t="s">
        <v>116</v>
      </c>
      <c r="K96" s="18" t="s">
        <v>117</v>
      </c>
      <c r="L96" s="18" t="s">
        <v>118</v>
      </c>
    </row>
    <row r="97" spans="1:14" ht="13.5" customHeight="1" x14ac:dyDescent="0.2">
      <c r="A97" s="3" t="s">
        <v>59</v>
      </c>
      <c r="B97" s="3">
        <v>3</v>
      </c>
      <c r="C97" s="12" t="s">
        <v>95</v>
      </c>
      <c r="D97" s="19"/>
      <c r="E97" s="19"/>
      <c r="F97" s="19"/>
      <c r="G97" s="19"/>
      <c r="H97" s="19"/>
      <c r="I97" s="19"/>
      <c r="J97" s="18"/>
      <c r="K97" s="18"/>
      <c r="L97" s="18"/>
    </row>
    <row r="98" spans="1:14" ht="13.5" customHeight="1" x14ac:dyDescent="0.2">
      <c r="A98" s="1" t="s">
        <v>61</v>
      </c>
      <c r="B98" s="1">
        <v>3</v>
      </c>
      <c r="D98" s="19">
        <v>1</v>
      </c>
      <c r="E98" s="19">
        <v>1</v>
      </c>
      <c r="F98" s="19"/>
      <c r="G98" s="19">
        <v>1</v>
      </c>
      <c r="H98" s="19">
        <v>2</v>
      </c>
      <c r="I98" s="19"/>
      <c r="J98" s="18">
        <v>0</v>
      </c>
      <c r="K98" s="18">
        <v>2</v>
      </c>
      <c r="L98" s="18"/>
      <c r="M98" s="21">
        <f>AVERAGE(D98,G98,J98)</f>
        <v>0.66666666666666663</v>
      </c>
      <c r="N98" s="5">
        <f>AVERAGE(E98,H98,K98)</f>
        <v>1.6666666666666667</v>
      </c>
    </row>
    <row r="99" spans="1:14" ht="13.5" customHeight="1" x14ac:dyDescent="0.2">
      <c r="A99" s="1" t="s">
        <v>62</v>
      </c>
      <c r="B99" s="1" t="s">
        <v>63</v>
      </c>
      <c r="D99" s="19">
        <v>1</v>
      </c>
      <c r="E99" s="19">
        <v>1</v>
      </c>
      <c r="F99" s="19"/>
      <c r="G99" s="19">
        <v>1</v>
      </c>
      <c r="H99" s="19">
        <v>2</v>
      </c>
      <c r="I99" s="19"/>
      <c r="J99" s="18">
        <v>2</v>
      </c>
      <c r="K99" s="18">
        <v>2</v>
      </c>
      <c r="L99" s="18" t="s">
        <v>169</v>
      </c>
      <c r="M99" s="21">
        <f>AVERAGE(D99,G99,J99)</f>
        <v>1.3333333333333333</v>
      </c>
      <c r="N99" s="5">
        <f>AVERAGE(E99,H99,K99)</f>
        <v>1.6666666666666667</v>
      </c>
    </row>
    <row r="100" spans="1:14" ht="13.5" customHeight="1" x14ac:dyDescent="0.2">
      <c r="A100" s="1" t="s">
        <v>64</v>
      </c>
      <c r="B100" s="1">
        <v>1</v>
      </c>
      <c r="D100" s="19"/>
      <c r="E100" s="19"/>
      <c r="F100" s="19" t="s">
        <v>13</v>
      </c>
      <c r="G100" s="19">
        <v>1</v>
      </c>
      <c r="H100" s="19">
        <v>1</v>
      </c>
      <c r="I100" s="19"/>
      <c r="J100" s="18">
        <v>1</v>
      </c>
      <c r="K100" s="18">
        <v>1</v>
      </c>
      <c r="L100" s="18" t="s">
        <v>170</v>
      </c>
      <c r="M100" s="21"/>
    </row>
    <row r="101" spans="1:14" ht="13.5" customHeight="1" x14ac:dyDescent="0.2">
      <c r="A101" s="1" t="s">
        <v>65</v>
      </c>
      <c r="B101" s="1">
        <v>3</v>
      </c>
      <c r="D101" s="19">
        <v>1</v>
      </c>
      <c r="E101" s="19">
        <v>1</v>
      </c>
      <c r="F101" s="19"/>
      <c r="G101" s="19">
        <v>1</v>
      </c>
      <c r="H101" s="19">
        <v>1</v>
      </c>
      <c r="I101" s="19"/>
      <c r="J101" s="18"/>
      <c r="K101" s="18"/>
      <c r="L101" s="18" t="s">
        <v>13</v>
      </c>
    </row>
    <row r="102" spans="1:14" ht="13.5" customHeight="1" x14ac:dyDescent="0.2">
      <c r="A102" s="1" t="s">
        <v>66</v>
      </c>
      <c r="B102" s="1">
        <v>3</v>
      </c>
      <c r="D102" s="19">
        <v>1</v>
      </c>
      <c r="E102" s="19">
        <v>1</v>
      </c>
      <c r="F102" s="19"/>
      <c r="G102" s="19">
        <v>0</v>
      </c>
      <c r="H102" s="19">
        <v>1</v>
      </c>
      <c r="I102" s="19"/>
      <c r="J102" s="18">
        <v>0</v>
      </c>
      <c r="K102" s="18">
        <v>2</v>
      </c>
      <c r="L102" s="18"/>
      <c r="M102" s="21">
        <f>AVERAGE(D102,G102,J102)</f>
        <v>0.33333333333333331</v>
      </c>
      <c r="N102" s="5">
        <f>AVERAGE(E102,H102,K102)</f>
        <v>1.3333333333333333</v>
      </c>
    </row>
    <row r="103" spans="1:14" ht="13.5" customHeight="1" x14ac:dyDescent="0.2">
      <c r="A103" s="1" t="s">
        <v>67</v>
      </c>
      <c r="B103" s="1">
        <v>3</v>
      </c>
      <c r="D103" s="19">
        <v>1</v>
      </c>
      <c r="E103" s="19">
        <v>1</v>
      </c>
      <c r="F103" s="19"/>
      <c r="G103" s="19">
        <v>0</v>
      </c>
      <c r="H103" s="19">
        <v>1</v>
      </c>
      <c r="I103" s="19"/>
      <c r="J103" s="18">
        <v>0</v>
      </c>
      <c r="K103" s="18">
        <v>2</v>
      </c>
      <c r="L103" s="18" t="s">
        <v>171</v>
      </c>
      <c r="M103" s="21">
        <f>AVERAGE(D103,G103,J103)</f>
        <v>0.33333333333333331</v>
      </c>
      <c r="N103" s="5">
        <f>AVERAGE(E103,H103,K103)</f>
        <v>1.3333333333333333</v>
      </c>
    </row>
    <row r="104" spans="1:14" ht="13.5" customHeight="1" x14ac:dyDescent="0.2">
      <c r="A104" s="1" t="s">
        <v>68</v>
      </c>
      <c r="B104" s="1">
        <v>2</v>
      </c>
      <c r="D104" s="19"/>
      <c r="E104" s="19"/>
      <c r="F104" s="19" t="s">
        <v>13</v>
      </c>
      <c r="G104" s="19"/>
      <c r="H104" s="19"/>
      <c r="I104" s="19" t="s">
        <v>13</v>
      </c>
      <c r="J104" s="18"/>
      <c r="K104" s="18"/>
      <c r="L104" s="18" t="s">
        <v>13</v>
      </c>
    </row>
    <row r="105" spans="1:14" ht="13.5" customHeight="1" x14ac:dyDescent="0.2">
      <c r="A105" s="1" t="s">
        <v>69</v>
      </c>
      <c r="B105" s="1">
        <v>2</v>
      </c>
      <c r="D105" s="19">
        <v>1</v>
      </c>
      <c r="E105" s="19">
        <v>1</v>
      </c>
      <c r="F105" s="19"/>
      <c r="G105" s="19">
        <v>0</v>
      </c>
      <c r="H105" s="19">
        <v>1</v>
      </c>
      <c r="I105" s="19"/>
      <c r="J105" s="18"/>
      <c r="K105" s="18"/>
      <c r="L105" s="18" t="s">
        <v>13</v>
      </c>
    </row>
    <row r="106" spans="1:14" ht="13.5" customHeight="1" x14ac:dyDescent="0.2">
      <c r="A106" s="1" t="s">
        <v>70</v>
      </c>
      <c r="B106" s="1">
        <v>2</v>
      </c>
      <c r="D106" s="19">
        <v>1</v>
      </c>
      <c r="E106" s="19">
        <v>1</v>
      </c>
      <c r="F106" s="19"/>
      <c r="G106" s="19">
        <v>1</v>
      </c>
      <c r="H106" s="19">
        <v>1</v>
      </c>
      <c r="I106" s="19"/>
      <c r="J106" s="18">
        <v>0</v>
      </c>
      <c r="K106" s="18">
        <v>2</v>
      </c>
      <c r="L106" s="18"/>
    </row>
    <row r="107" spans="1:14" ht="13.5" customHeight="1" x14ac:dyDescent="0.2">
      <c r="A107" s="1" t="s">
        <v>71</v>
      </c>
      <c r="B107" s="1">
        <v>1</v>
      </c>
      <c r="D107" s="19">
        <v>1</v>
      </c>
      <c r="E107" s="19">
        <v>2</v>
      </c>
      <c r="F107" s="19"/>
      <c r="G107" s="19"/>
      <c r="H107" s="19"/>
      <c r="I107" s="19" t="s">
        <v>13</v>
      </c>
      <c r="J107" s="18"/>
      <c r="K107" s="18"/>
      <c r="L107" s="18" t="s">
        <v>13</v>
      </c>
    </row>
    <row r="108" spans="1:14" ht="13.5" customHeight="1" x14ac:dyDescent="0.2">
      <c r="A108" s="1" t="s">
        <v>72</v>
      </c>
      <c r="B108" s="1">
        <v>2</v>
      </c>
      <c r="D108" s="19"/>
      <c r="E108" s="19"/>
      <c r="F108" s="19" t="s">
        <v>13</v>
      </c>
      <c r="G108" s="19">
        <v>1</v>
      </c>
      <c r="H108" s="19">
        <v>1</v>
      </c>
      <c r="I108" s="19"/>
      <c r="J108" s="18"/>
      <c r="K108" s="18"/>
      <c r="L108" s="18" t="s">
        <v>13</v>
      </c>
    </row>
    <row r="109" spans="1:14" ht="13.5" customHeight="1" x14ac:dyDescent="0.2">
      <c r="A109" s="1" t="s">
        <v>73</v>
      </c>
      <c r="B109" s="1">
        <v>1</v>
      </c>
      <c r="D109" s="19">
        <v>1</v>
      </c>
      <c r="E109" s="19">
        <v>1</v>
      </c>
      <c r="F109" s="19"/>
      <c r="G109" s="19">
        <v>2</v>
      </c>
      <c r="H109" s="19">
        <v>2</v>
      </c>
      <c r="I109" s="19"/>
      <c r="J109" s="18">
        <v>1</v>
      </c>
      <c r="K109" s="18">
        <v>1</v>
      </c>
      <c r="L109" s="18" t="s">
        <v>172</v>
      </c>
    </row>
    <row r="110" spans="1:14" ht="13.5" customHeight="1" x14ac:dyDescent="0.2">
      <c r="A110" s="1" t="s">
        <v>74</v>
      </c>
      <c r="B110" s="1">
        <v>1</v>
      </c>
      <c r="D110" s="19"/>
      <c r="E110" s="19"/>
      <c r="F110" s="19" t="s">
        <v>13</v>
      </c>
      <c r="G110" s="19"/>
      <c r="H110" s="19"/>
      <c r="I110" s="19" t="s">
        <v>13</v>
      </c>
      <c r="J110" s="18"/>
      <c r="K110" s="18"/>
      <c r="L110" s="18" t="s">
        <v>13</v>
      </c>
    </row>
    <row r="111" spans="1:14" ht="13.5" customHeight="1" x14ac:dyDescent="0.2">
      <c r="A111" s="1" t="s">
        <v>75</v>
      </c>
      <c r="B111" s="1">
        <v>1</v>
      </c>
      <c r="D111" s="19">
        <v>2</v>
      </c>
      <c r="E111" s="19">
        <v>2</v>
      </c>
      <c r="F111" s="19"/>
      <c r="G111" s="19">
        <v>2</v>
      </c>
      <c r="H111" s="19">
        <v>2</v>
      </c>
      <c r="I111" s="19"/>
      <c r="J111" s="18">
        <v>2</v>
      </c>
      <c r="K111" s="18">
        <v>2</v>
      </c>
      <c r="L111" s="18" t="s">
        <v>115</v>
      </c>
    </row>
    <row r="112" spans="1:14" ht="13.5" customHeight="1" x14ac:dyDescent="0.2">
      <c r="A112" s="1" t="s">
        <v>76</v>
      </c>
      <c r="B112" s="1">
        <v>1</v>
      </c>
      <c r="D112" s="19">
        <v>1</v>
      </c>
      <c r="E112" s="19">
        <v>1</v>
      </c>
      <c r="F112" s="19"/>
      <c r="G112" s="19"/>
      <c r="H112" s="19"/>
      <c r="I112" s="19" t="s">
        <v>13</v>
      </c>
      <c r="J112" s="18">
        <v>2</v>
      </c>
      <c r="K112" s="18">
        <v>2</v>
      </c>
      <c r="L112" s="18" t="s">
        <v>173</v>
      </c>
    </row>
    <row r="113" spans="1:14" ht="13.5" customHeight="1" x14ac:dyDescent="0.2">
      <c r="D113" s="19"/>
      <c r="E113" s="19"/>
      <c r="F113" s="19"/>
      <c r="G113" s="19"/>
      <c r="H113" s="19"/>
      <c r="I113" s="19"/>
      <c r="J113" s="18"/>
      <c r="K113" s="18"/>
      <c r="L113" s="18"/>
    </row>
    <row r="114" spans="1:14" ht="13.5" customHeight="1" x14ac:dyDescent="0.2">
      <c r="A114" s="3" t="s">
        <v>77</v>
      </c>
      <c r="B114" s="3">
        <v>2</v>
      </c>
      <c r="C114" s="12" t="s">
        <v>96</v>
      </c>
      <c r="D114" s="19"/>
      <c r="E114" s="19"/>
      <c r="F114" s="19"/>
      <c r="G114" s="19"/>
      <c r="H114" s="19"/>
      <c r="I114" s="19"/>
      <c r="J114" s="18"/>
      <c r="K114" s="18"/>
      <c r="L114" s="18"/>
    </row>
    <row r="115" spans="1:14" ht="13.5" customHeight="1" x14ac:dyDescent="0.2">
      <c r="A115" s="1" t="s">
        <v>79</v>
      </c>
      <c r="B115" s="1">
        <v>2</v>
      </c>
      <c r="D115" s="19">
        <v>1</v>
      </c>
      <c r="E115" s="19">
        <v>2</v>
      </c>
      <c r="F115" s="19"/>
      <c r="G115" s="19">
        <v>1</v>
      </c>
      <c r="H115" s="19">
        <v>1</v>
      </c>
      <c r="I115" s="19" t="s">
        <v>104</v>
      </c>
      <c r="J115" s="18">
        <v>0</v>
      </c>
      <c r="K115" s="18">
        <v>2</v>
      </c>
      <c r="L115" s="18"/>
      <c r="M115" s="21">
        <f>AVERAGE(D115,G115,J115)</f>
        <v>0.66666666666666663</v>
      </c>
      <c r="N115" s="5">
        <f>AVERAGE(E115,H115,K115)</f>
        <v>1.6666666666666667</v>
      </c>
    </row>
    <row r="116" spans="1:14" ht="13.5" customHeight="1" x14ac:dyDescent="0.2">
      <c r="A116" s="3" t="s">
        <v>23</v>
      </c>
      <c r="B116" s="3">
        <v>2</v>
      </c>
      <c r="C116" s="12" t="s">
        <v>97</v>
      </c>
      <c r="D116" s="19"/>
      <c r="E116" s="19"/>
      <c r="F116" s="19"/>
      <c r="G116" s="19"/>
      <c r="H116" s="19"/>
      <c r="I116" s="19"/>
      <c r="J116" s="18"/>
      <c r="K116" s="18"/>
      <c r="L116" s="18"/>
    </row>
    <row r="117" spans="1:14" ht="13.5" customHeight="1" x14ac:dyDescent="0.2">
      <c r="A117" s="1" t="s">
        <v>81</v>
      </c>
      <c r="D117" s="19"/>
      <c r="E117" s="19"/>
      <c r="F117" s="19"/>
      <c r="G117" s="19"/>
      <c r="H117" s="19"/>
      <c r="I117" s="19"/>
      <c r="J117" s="18"/>
      <c r="K117" s="18"/>
      <c r="L117" s="18"/>
    </row>
    <row r="118" spans="1:14" ht="13.5" customHeight="1" x14ac:dyDescent="0.2">
      <c r="A118" s="1" t="s">
        <v>82</v>
      </c>
      <c r="B118" s="1">
        <v>3</v>
      </c>
      <c r="D118" s="19">
        <v>1</v>
      </c>
      <c r="E118" s="19">
        <v>2</v>
      </c>
      <c r="F118" s="19"/>
      <c r="G118" s="19">
        <v>0</v>
      </c>
      <c r="H118" s="19">
        <v>1</v>
      </c>
      <c r="I118" s="19"/>
      <c r="J118" s="18">
        <v>0</v>
      </c>
      <c r="K118" s="18">
        <v>2</v>
      </c>
      <c r="L118" s="18"/>
      <c r="M118" s="21">
        <f>AVERAGE(D118,G118,J118)</f>
        <v>0.33333333333333331</v>
      </c>
      <c r="N118" s="5">
        <f>AVERAGE(E118,H118,K118)</f>
        <v>1.6666666666666667</v>
      </c>
    </row>
    <row r="119" spans="1:14" ht="13.5" customHeight="1" x14ac:dyDescent="0.2">
      <c r="A119" s="4" t="s">
        <v>83</v>
      </c>
      <c r="B119" s="1">
        <v>2</v>
      </c>
      <c r="D119" s="19">
        <v>1</v>
      </c>
      <c r="E119" s="19">
        <v>2</v>
      </c>
      <c r="F119" s="19"/>
      <c r="G119" s="19">
        <v>0</v>
      </c>
      <c r="H119" s="19">
        <v>2</v>
      </c>
      <c r="I119" s="19"/>
      <c r="J119" s="18">
        <v>0</v>
      </c>
      <c r="K119" s="18">
        <v>2</v>
      </c>
      <c r="L119" s="18"/>
      <c r="M119" s="21">
        <f>AVERAGE(D119,G119,J119)</f>
        <v>0.33333333333333331</v>
      </c>
      <c r="N119" s="5">
        <f>AVERAGE(E119,H119,K119)</f>
        <v>2</v>
      </c>
    </row>
    <row r="120" spans="1:14" ht="13.5" customHeight="1" x14ac:dyDescent="0.2">
      <c r="A120" s="4" t="s">
        <v>84</v>
      </c>
      <c r="B120" s="1">
        <v>3</v>
      </c>
      <c r="D120" s="19">
        <v>1</v>
      </c>
      <c r="E120" s="19">
        <v>1</v>
      </c>
      <c r="F120" s="19"/>
      <c r="G120" s="19">
        <v>1</v>
      </c>
      <c r="H120" s="19">
        <v>1</v>
      </c>
      <c r="I120" s="19"/>
      <c r="J120" s="18"/>
      <c r="K120" s="18"/>
      <c r="L120" s="18" t="s">
        <v>13</v>
      </c>
    </row>
    <row r="121" spans="1:14" ht="13.5" customHeight="1" x14ac:dyDescent="0.2">
      <c r="A121" s="4" t="s">
        <v>85</v>
      </c>
      <c r="B121" s="1">
        <v>3</v>
      </c>
      <c r="D121" s="19">
        <v>0</v>
      </c>
      <c r="E121" s="19">
        <v>2</v>
      </c>
      <c r="F121" s="19"/>
      <c r="G121" s="19">
        <v>0</v>
      </c>
      <c r="H121" s="19">
        <v>2</v>
      </c>
      <c r="I121" s="19"/>
      <c r="J121" s="18">
        <v>0</v>
      </c>
      <c r="K121" s="18">
        <v>2</v>
      </c>
      <c r="L121" s="18"/>
      <c r="M121" s="21">
        <f>AVERAGE(D121,G121,J121)</f>
        <v>0</v>
      </c>
      <c r="N121" s="5">
        <f>AVERAGE(E121,H121,K121)</f>
        <v>2</v>
      </c>
    </row>
    <row r="122" spans="1:14" ht="13.5" customHeight="1" x14ac:dyDescent="0.2">
      <c r="A122" s="7" t="s">
        <v>86</v>
      </c>
      <c r="C122" s="12" t="s">
        <v>98</v>
      </c>
      <c r="D122" s="19"/>
      <c r="E122" s="19"/>
      <c r="F122" s="19"/>
      <c r="G122" s="19"/>
      <c r="H122" s="19"/>
      <c r="I122" s="19"/>
      <c r="J122" s="18"/>
      <c r="K122" s="18"/>
      <c r="L122" s="18"/>
    </row>
    <row r="123" spans="1:14" ht="13.5" customHeight="1" x14ac:dyDescent="0.2">
      <c r="A123" s="4" t="s">
        <v>88</v>
      </c>
      <c r="B123" s="1">
        <v>2</v>
      </c>
      <c r="D123" s="19">
        <v>1</v>
      </c>
      <c r="E123" s="19">
        <v>1</v>
      </c>
      <c r="F123" s="19"/>
      <c r="G123" s="19">
        <v>0</v>
      </c>
      <c r="H123" s="19">
        <v>2</v>
      </c>
      <c r="I123" s="19"/>
      <c r="J123" s="18">
        <v>1</v>
      </c>
      <c r="K123" s="18">
        <v>1</v>
      </c>
      <c r="L123" s="18" t="s">
        <v>167</v>
      </c>
      <c r="M123" s="21">
        <f>AVERAGE(D123,G123,J123)</f>
        <v>0.66666666666666663</v>
      </c>
      <c r="N123" s="5">
        <f>AVERAGE(E123,H123,K123)</f>
        <v>1.3333333333333333</v>
      </c>
    </row>
    <row r="124" spans="1:14" ht="13.5" customHeight="1" x14ac:dyDescent="0.2">
      <c r="A124" s="4" t="s">
        <v>84</v>
      </c>
      <c r="B124" s="1">
        <v>2</v>
      </c>
      <c r="D124" s="19">
        <v>1</v>
      </c>
      <c r="E124" s="19">
        <v>1</v>
      </c>
      <c r="F124" s="19"/>
      <c r="G124" s="19">
        <v>1</v>
      </c>
      <c r="H124" s="19">
        <v>1</v>
      </c>
      <c r="I124" s="19"/>
      <c r="J124" s="18"/>
      <c r="K124" s="18"/>
      <c r="L124" s="18" t="s">
        <v>13</v>
      </c>
    </row>
    <row r="125" spans="1:14" ht="13.5" customHeight="1" x14ac:dyDescent="0.2">
      <c r="A125" s="4" t="s">
        <v>89</v>
      </c>
      <c r="B125" s="1">
        <v>3</v>
      </c>
      <c r="D125" s="19">
        <v>2</v>
      </c>
      <c r="E125" s="19">
        <v>2</v>
      </c>
      <c r="F125" s="19"/>
      <c r="G125" s="19">
        <v>2</v>
      </c>
      <c r="H125" s="19">
        <v>2</v>
      </c>
      <c r="I125" s="19"/>
      <c r="J125" s="18">
        <v>2</v>
      </c>
      <c r="K125" s="18">
        <v>2</v>
      </c>
      <c r="L125" s="18" t="s">
        <v>115</v>
      </c>
      <c r="M125" s="21">
        <f>AVERAGE(D125,G125,J125)</f>
        <v>2</v>
      </c>
      <c r="N125" s="5">
        <f>AVERAGE(E125,H125,K125)</f>
        <v>2</v>
      </c>
    </row>
    <row r="126" spans="1:14" ht="23" customHeight="1" x14ac:dyDescent="0.25">
      <c r="A126" s="2" t="s">
        <v>155</v>
      </c>
    </row>
    <row r="127" spans="1:14" ht="13.5" customHeight="1" x14ac:dyDescent="0.2">
      <c r="A127" s="1" t="s">
        <v>58</v>
      </c>
      <c r="B127" s="1" t="s">
        <v>1</v>
      </c>
      <c r="C127" s="12" t="s">
        <v>2</v>
      </c>
      <c r="D127" s="19" t="s">
        <v>3</v>
      </c>
      <c r="E127" s="19" t="s">
        <v>4</v>
      </c>
      <c r="F127" s="19" t="s">
        <v>5</v>
      </c>
      <c r="G127" s="19" t="s">
        <v>105</v>
      </c>
      <c r="H127" s="19" t="s">
        <v>106</v>
      </c>
      <c r="I127" s="19" t="s">
        <v>107</v>
      </c>
      <c r="J127" s="18" t="s">
        <v>116</v>
      </c>
      <c r="K127" s="18" t="s">
        <v>117</v>
      </c>
      <c r="L127" s="18" t="s">
        <v>118</v>
      </c>
    </row>
    <row r="128" spans="1:14" ht="13.5" customHeight="1" x14ac:dyDescent="0.2">
      <c r="A128" s="3" t="s">
        <v>59</v>
      </c>
      <c r="B128" s="3">
        <v>3</v>
      </c>
      <c r="C128" s="12" t="s">
        <v>99</v>
      </c>
      <c r="D128" s="19"/>
      <c r="E128" s="19"/>
      <c r="F128" s="19"/>
      <c r="G128" s="19"/>
      <c r="H128" s="19"/>
      <c r="I128" s="19"/>
      <c r="J128" s="18"/>
      <c r="K128" s="18"/>
      <c r="L128" s="18"/>
    </row>
    <row r="129" spans="1:14" ht="13.5" customHeight="1" x14ac:dyDescent="0.2">
      <c r="A129" s="1" t="s">
        <v>61</v>
      </c>
      <c r="B129" s="1">
        <v>3</v>
      </c>
      <c r="D129" s="19">
        <v>1</v>
      </c>
      <c r="E129" s="19">
        <v>2</v>
      </c>
      <c r="F129" s="19"/>
      <c r="G129" s="19">
        <v>0</v>
      </c>
      <c r="H129" s="19">
        <v>1</v>
      </c>
      <c r="I129" s="19"/>
      <c r="J129" s="18">
        <v>0</v>
      </c>
      <c r="K129" s="18">
        <v>2</v>
      </c>
      <c r="L129" s="18"/>
      <c r="M129" s="21">
        <f>AVERAGE(D129,G129,J129)</f>
        <v>0.33333333333333331</v>
      </c>
      <c r="N129" s="5">
        <f>AVERAGE(E129,H129,K129)</f>
        <v>1.6666666666666667</v>
      </c>
    </row>
    <row r="130" spans="1:14" ht="13.5" customHeight="1" x14ac:dyDescent="0.2">
      <c r="A130" s="1" t="s">
        <v>62</v>
      </c>
      <c r="B130" s="1" t="s">
        <v>63</v>
      </c>
      <c r="D130" s="19">
        <v>2</v>
      </c>
      <c r="E130" s="19">
        <v>2</v>
      </c>
      <c r="F130" s="19"/>
      <c r="G130" s="19">
        <v>1</v>
      </c>
      <c r="H130" s="19">
        <v>1</v>
      </c>
      <c r="I130" s="19"/>
      <c r="J130" s="18">
        <v>1</v>
      </c>
      <c r="K130" s="18">
        <v>1</v>
      </c>
      <c r="L130" s="18" t="s">
        <v>174</v>
      </c>
      <c r="M130" s="21">
        <f>AVERAGE(D130,G130,J130)</f>
        <v>1.3333333333333333</v>
      </c>
      <c r="N130" s="5">
        <f>AVERAGE(E130,H130,K130)</f>
        <v>1.3333333333333333</v>
      </c>
    </row>
    <row r="131" spans="1:14" ht="13.5" customHeight="1" x14ac:dyDescent="0.2">
      <c r="A131" s="1" t="s">
        <v>64</v>
      </c>
      <c r="B131" s="1">
        <v>1</v>
      </c>
      <c r="D131" s="19"/>
      <c r="E131" s="19"/>
      <c r="F131" s="19" t="s">
        <v>13</v>
      </c>
      <c r="G131" s="19">
        <v>1</v>
      </c>
      <c r="H131" s="19">
        <v>1</v>
      </c>
      <c r="I131" s="19"/>
      <c r="J131" s="18">
        <v>1</v>
      </c>
      <c r="K131" s="18">
        <v>1</v>
      </c>
      <c r="L131" s="18"/>
      <c r="M131" s="21"/>
    </row>
    <row r="132" spans="1:14" ht="13.5" customHeight="1" x14ac:dyDescent="0.2">
      <c r="A132" s="1" t="s">
        <v>65</v>
      </c>
      <c r="B132" s="1">
        <v>3</v>
      </c>
      <c r="D132" s="19"/>
      <c r="E132" s="19"/>
      <c r="F132" s="19" t="s">
        <v>13</v>
      </c>
      <c r="G132" s="19">
        <v>1</v>
      </c>
      <c r="H132" s="19">
        <v>1</v>
      </c>
      <c r="I132" s="19"/>
      <c r="J132" s="18"/>
      <c r="K132" s="18"/>
      <c r="L132" s="18" t="s">
        <v>13</v>
      </c>
    </row>
    <row r="133" spans="1:14" ht="13.5" customHeight="1" x14ac:dyDescent="0.2">
      <c r="A133" s="1" t="s">
        <v>66</v>
      </c>
      <c r="B133" s="1">
        <v>3</v>
      </c>
      <c r="D133" s="19">
        <v>1</v>
      </c>
      <c r="E133" s="19">
        <v>2</v>
      </c>
      <c r="F133" s="19"/>
      <c r="G133" s="19">
        <v>0</v>
      </c>
      <c r="H133" s="19">
        <v>1</v>
      </c>
      <c r="I133" s="19"/>
      <c r="J133" s="18">
        <v>0</v>
      </c>
      <c r="K133" s="18">
        <v>2</v>
      </c>
      <c r="L133" s="18"/>
      <c r="M133" s="21">
        <f>AVERAGE(D133,G133,J133)</f>
        <v>0.33333333333333331</v>
      </c>
      <c r="N133" s="5">
        <f>AVERAGE(E133,H133,K133)</f>
        <v>1.6666666666666667</v>
      </c>
    </row>
    <row r="134" spans="1:14" ht="13.5" customHeight="1" x14ac:dyDescent="0.2">
      <c r="A134" s="1" t="s">
        <v>67</v>
      </c>
      <c r="B134" s="1">
        <v>3</v>
      </c>
      <c r="D134" s="19">
        <v>2</v>
      </c>
      <c r="E134" s="19">
        <v>1</v>
      </c>
      <c r="F134" s="19"/>
      <c r="G134" s="19">
        <v>0</v>
      </c>
      <c r="H134" s="19">
        <v>1</v>
      </c>
      <c r="I134" s="19"/>
      <c r="J134" s="18">
        <v>1</v>
      </c>
      <c r="K134" s="18">
        <v>1</v>
      </c>
      <c r="L134" s="18" t="s">
        <v>175</v>
      </c>
      <c r="M134" s="21">
        <f>AVERAGE(D134,G134,J134)</f>
        <v>1</v>
      </c>
      <c r="N134" s="5">
        <f>AVERAGE(E134,H134,K134)</f>
        <v>1</v>
      </c>
    </row>
    <row r="135" spans="1:14" ht="13.5" customHeight="1" x14ac:dyDescent="0.2">
      <c r="A135" s="1" t="s">
        <v>68</v>
      </c>
      <c r="B135" s="1">
        <v>2</v>
      </c>
      <c r="D135" s="19"/>
      <c r="E135" s="19"/>
      <c r="F135" s="19" t="s">
        <v>13</v>
      </c>
      <c r="G135" s="19"/>
      <c r="H135" s="19"/>
      <c r="I135" s="19" t="s">
        <v>13</v>
      </c>
      <c r="J135" s="18"/>
      <c r="K135" s="18"/>
      <c r="L135" s="18" t="s">
        <v>13</v>
      </c>
    </row>
    <row r="136" spans="1:14" ht="13.5" customHeight="1" x14ac:dyDescent="0.2">
      <c r="A136" s="1" t="s">
        <v>69</v>
      </c>
      <c r="B136" s="1">
        <v>2</v>
      </c>
      <c r="D136" s="19">
        <v>2</v>
      </c>
      <c r="E136" s="19">
        <v>1</v>
      </c>
      <c r="F136" s="19"/>
      <c r="G136" s="19">
        <v>1</v>
      </c>
      <c r="H136" s="19">
        <v>2</v>
      </c>
      <c r="I136" s="19"/>
      <c r="J136" s="18"/>
      <c r="K136" s="18"/>
      <c r="L136" s="18" t="s">
        <v>13</v>
      </c>
    </row>
    <row r="137" spans="1:14" ht="13.5" customHeight="1" x14ac:dyDescent="0.2">
      <c r="A137" s="1" t="s">
        <v>70</v>
      </c>
      <c r="B137" s="1">
        <v>2</v>
      </c>
      <c r="D137" s="19">
        <v>1</v>
      </c>
      <c r="E137" s="19">
        <v>1</v>
      </c>
      <c r="F137" s="19"/>
      <c r="G137" s="19">
        <v>1</v>
      </c>
      <c r="H137" s="19">
        <v>2</v>
      </c>
      <c r="I137" s="19"/>
      <c r="J137" s="18">
        <v>1</v>
      </c>
      <c r="K137" s="18">
        <v>1</v>
      </c>
      <c r="L137" s="18"/>
    </row>
    <row r="138" spans="1:14" ht="13.5" customHeight="1" x14ac:dyDescent="0.2">
      <c r="A138" s="1" t="s">
        <v>71</v>
      </c>
      <c r="B138" s="1">
        <v>1</v>
      </c>
      <c r="D138" s="19"/>
      <c r="E138" s="19"/>
      <c r="F138" s="19" t="s">
        <v>13</v>
      </c>
      <c r="G138" s="19"/>
      <c r="H138" s="19"/>
      <c r="I138" s="19" t="s">
        <v>13</v>
      </c>
      <c r="J138" s="18"/>
      <c r="K138" s="18"/>
      <c r="L138" s="18" t="s">
        <v>13</v>
      </c>
    </row>
    <row r="139" spans="1:14" ht="13.5" customHeight="1" x14ac:dyDescent="0.2">
      <c r="A139" s="1" t="s">
        <v>72</v>
      </c>
      <c r="B139" s="1">
        <v>2</v>
      </c>
      <c r="D139" s="19">
        <v>1</v>
      </c>
      <c r="E139" s="19">
        <v>1</v>
      </c>
      <c r="F139" s="19"/>
      <c r="G139" s="19">
        <v>2</v>
      </c>
      <c r="H139" s="19">
        <v>2</v>
      </c>
      <c r="I139" s="19"/>
      <c r="J139" s="18">
        <v>1</v>
      </c>
      <c r="K139" s="18">
        <v>1</v>
      </c>
      <c r="L139" s="18" t="s">
        <v>174</v>
      </c>
    </row>
    <row r="140" spans="1:14" ht="13.5" customHeight="1" x14ac:dyDescent="0.2">
      <c r="A140" s="1" t="s">
        <v>73</v>
      </c>
      <c r="B140" s="1">
        <v>1</v>
      </c>
      <c r="D140" s="19">
        <v>1</v>
      </c>
      <c r="E140" s="19">
        <v>1</v>
      </c>
      <c r="F140" s="19"/>
      <c r="G140" s="19">
        <v>1</v>
      </c>
      <c r="H140" s="19">
        <v>2</v>
      </c>
      <c r="I140" s="19"/>
      <c r="J140" s="18">
        <v>1</v>
      </c>
      <c r="K140" s="18">
        <v>1</v>
      </c>
      <c r="L140" s="18" t="s">
        <v>176</v>
      </c>
    </row>
    <row r="141" spans="1:14" ht="13.5" customHeight="1" x14ac:dyDescent="0.2">
      <c r="A141" s="1" t="s">
        <v>74</v>
      </c>
      <c r="B141" s="1">
        <v>1</v>
      </c>
      <c r="D141" s="19"/>
      <c r="E141" s="19"/>
      <c r="F141" s="19" t="s">
        <v>13</v>
      </c>
      <c r="G141" s="19"/>
      <c r="H141" s="19"/>
      <c r="I141" s="19" t="s">
        <v>13</v>
      </c>
      <c r="J141" s="18"/>
      <c r="K141" s="18"/>
      <c r="L141" s="18" t="s">
        <v>13</v>
      </c>
    </row>
    <row r="142" spans="1:14" ht="13.5" customHeight="1" x14ac:dyDescent="0.2">
      <c r="A142" s="1" t="s">
        <v>75</v>
      </c>
      <c r="B142" s="1">
        <v>1</v>
      </c>
      <c r="D142" s="19">
        <v>2</v>
      </c>
      <c r="E142" s="19">
        <v>2</v>
      </c>
      <c r="F142" s="19"/>
      <c r="G142" s="19">
        <v>2</v>
      </c>
      <c r="H142" s="19">
        <v>2</v>
      </c>
      <c r="I142" s="19"/>
      <c r="J142" s="18">
        <v>2</v>
      </c>
      <c r="K142" s="18">
        <v>2</v>
      </c>
      <c r="L142" s="18" t="s">
        <v>115</v>
      </c>
    </row>
    <row r="143" spans="1:14" ht="13.5" customHeight="1" x14ac:dyDescent="0.2">
      <c r="A143" s="1" t="s">
        <v>76</v>
      </c>
      <c r="B143" s="1">
        <v>1</v>
      </c>
      <c r="D143" s="19"/>
      <c r="E143" s="19"/>
      <c r="F143" s="19" t="s">
        <v>13</v>
      </c>
      <c r="G143" s="19">
        <v>1</v>
      </c>
      <c r="H143" s="19">
        <v>2</v>
      </c>
      <c r="I143" s="19"/>
      <c r="J143" s="18">
        <v>2</v>
      </c>
      <c r="K143" s="18">
        <v>2</v>
      </c>
      <c r="L143" s="18" t="s">
        <v>177</v>
      </c>
    </row>
    <row r="144" spans="1:14" ht="13.5" customHeight="1" x14ac:dyDescent="0.2">
      <c r="D144" s="19"/>
      <c r="E144" s="19"/>
      <c r="F144" s="19"/>
      <c r="G144" s="19"/>
      <c r="H144" s="19"/>
      <c r="I144" s="19"/>
      <c r="J144" s="18"/>
      <c r="K144" s="18"/>
      <c r="L144" s="18"/>
    </row>
    <row r="145" spans="1:14" ht="13.5" customHeight="1" x14ac:dyDescent="0.2">
      <c r="A145" s="3" t="s">
        <v>77</v>
      </c>
      <c r="B145" s="3">
        <v>2</v>
      </c>
      <c r="C145" s="12" t="s">
        <v>100</v>
      </c>
      <c r="D145" s="19"/>
      <c r="E145" s="19"/>
      <c r="F145" s="19"/>
      <c r="G145" s="19"/>
      <c r="H145" s="19"/>
      <c r="I145" s="19"/>
      <c r="J145" s="18"/>
      <c r="K145" s="18"/>
      <c r="L145" s="18"/>
    </row>
    <row r="146" spans="1:14" ht="13.5" customHeight="1" x14ac:dyDescent="0.2">
      <c r="A146" s="1" t="s">
        <v>79</v>
      </c>
      <c r="B146" s="1">
        <v>2</v>
      </c>
      <c r="D146" s="19">
        <v>1</v>
      </c>
      <c r="E146" s="19">
        <v>2</v>
      </c>
      <c r="F146" s="19"/>
      <c r="G146" s="19">
        <v>0</v>
      </c>
      <c r="H146" s="19">
        <v>1</v>
      </c>
      <c r="I146" s="19"/>
      <c r="J146" s="18">
        <v>0</v>
      </c>
      <c r="K146" s="18">
        <v>2</v>
      </c>
      <c r="L146" s="18"/>
      <c r="M146" s="21">
        <f>AVERAGE(D146,G146,J146)</f>
        <v>0.33333333333333331</v>
      </c>
      <c r="N146" s="5">
        <f>AVERAGE(E146,H146,K146)</f>
        <v>1.6666666666666667</v>
      </c>
    </row>
    <row r="147" spans="1:14" ht="13.5" customHeight="1" x14ac:dyDescent="0.2">
      <c r="A147" s="3" t="s">
        <v>23</v>
      </c>
      <c r="B147" s="3">
        <v>2</v>
      </c>
      <c r="C147" s="12" t="s">
        <v>101</v>
      </c>
      <c r="D147" s="19"/>
      <c r="E147" s="19"/>
      <c r="F147" s="19"/>
      <c r="G147" s="19"/>
      <c r="H147" s="19"/>
      <c r="I147" s="19"/>
      <c r="J147" s="18"/>
      <c r="K147" s="18"/>
      <c r="L147" s="18"/>
    </row>
    <row r="148" spans="1:14" ht="13.5" customHeight="1" x14ac:dyDescent="0.2">
      <c r="A148" s="1" t="s">
        <v>81</v>
      </c>
      <c r="D148" s="19"/>
      <c r="E148" s="19"/>
      <c r="F148" s="19"/>
      <c r="G148" s="19"/>
      <c r="H148" s="19"/>
      <c r="I148" s="19"/>
      <c r="J148" s="18"/>
      <c r="K148" s="18"/>
      <c r="L148" s="18"/>
    </row>
    <row r="149" spans="1:14" ht="13.5" customHeight="1" x14ac:dyDescent="0.2">
      <c r="A149" s="1" t="s">
        <v>82</v>
      </c>
      <c r="B149" s="1">
        <v>3</v>
      </c>
      <c r="D149" s="19">
        <v>0</v>
      </c>
      <c r="E149" s="19">
        <v>2</v>
      </c>
      <c r="F149" s="19"/>
      <c r="G149" s="19">
        <v>0</v>
      </c>
      <c r="H149" s="19">
        <v>2</v>
      </c>
      <c r="I149" s="19"/>
      <c r="J149" s="18">
        <v>0</v>
      </c>
      <c r="K149" s="18">
        <v>2</v>
      </c>
      <c r="L149" s="18"/>
      <c r="M149" s="21">
        <f>AVERAGE(D149,G149,J149)</f>
        <v>0</v>
      </c>
      <c r="N149" s="5">
        <f>AVERAGE(E149,H149,K149)</f>
        <v>2</v>
      </c>
    </row>
    <row r="150" spans="1:14" ht="13.5" customHeight="1" x14ac:dyDescent="0.2">
      <c r="A150" s="4" t="s">
        <v>83</v>
      </c>
      <c r="B150" s="1">
        <v>2</v>
      </c>
      <c r="D150" s="19">
        <v>1</v>
      </c>
      <c r="E150" s="19">
        <v>2</v>
      </c>
      <c r="F150" s="19"/>
      <c r="G150" s="19">
        <v>0</v>
      </c>
      <c r="H150" s="19">
        <v>2</v>
      </c>
      <c r="I150" s="19"/>
      <c r="J150" s="18">
        <v>0</v>
      </c>
      <c r="K150" s="18">
        <v>2</v>
      </c>
      <c r="L150" s="18"/>
      <c r="M150" s="21">
        <f>AVERAGE(D150,G150,J150)</f>
        <v>0.33333333333333331</v>
      </c>
      <c r="N150" s="5">
        <f>AVERAGE(E150,H150,K150)</f>
        <v>2</v>
      </c>
    </row>
    <row r="151" spans="1:14" ht="13.5" customHeight="1" x14ac:dyDescent="0.2">
      <c r="A151" s="4" t="s">
        <v>84</v>
      </c>
      <c r="B151" s="1">
        <v>3</v>
      </c>
      <c r="D151" s="19">
        <v>1</v>
      </c>
      <c r="E151" s="19">
        <v>1</v>
      </c>
      <c r="F151" s="19"/>
      <c r="G151" s="19">
        <v>1</v>
      </c>
      <c r="H151" s="19">
        <v>1</v>
      </c>
      <c r="I151" s="19"/>
      <c r="J151" s="18"/>
      <c r="K151" s="18"/>
      <c r="L151" s="18" t="s">
        <v>13</v>
      </c>
    </row>
    <row r="152" spans="1:14" ht="13.5" customHeight="1" x14ac:dyDescent="0.2">
      <c r="A152" s="4" t="s">
        <v>85</v>
      </c>
      <c r="B152" s="1">
        <v>3</v>
      </c>
      <c r="D152" s="19">
        <v>1</v>
      </c>
      <c r="E152" s="19">
        <v>2</v>
      </c>
      <c r="F152" s="19"/>
      <c r="G152" s="19">
        <v>0</v>
      </c>
      <c r="H152" s="19">
        <v>1</v>
      </c>
      <c r="I152" s="19"/>
      <c r="J152" s="18">
        <v>0</v>
      </c>
      <c r="K152" s="18">
        <v>2</v>
      </c>
      <c r="L152" s="18"/>
      <c r="M152" s="21">
        <f>AVERAGE(D152,G152,J152)</f>
        <v>0.33333333333333331</v>
      </c>
      <c r="N152" s="5">
        <f>AVERAGE(E152,H152,K152)</f>
        <v>1.6666666666666667</v>
      </c>
    </row>
    <row r="153" spans="1:14" ht="13.5" customHeight="1" x14ac:dyDescent="0.2">
      <c r="A153" s="7" t="s">
        <v>86</v>
      </c>
      <c r="C153" s="12" t="s">
        <v>102</v>
      </c>
      <c r="D153" s="19"/>
      <c r="E153" s="19"/>
      <c r="F153" s="19"/>
      <c r="G153" s="19"/>
      <c r="H153" s="19"/>
      <c r="I153" s="19"/>
      <c r="J153" s="18"/>
      <c r="K153" s="18"/>
      <c r="L153" s="18"/>
    </row>
    <row r="154" spans="1:14" ht="13.5" customHeight="1" x14ac:dyDescent="0.2">
      <c r="A154" s="4" t="s">
        <v>88</v>
      </c>
      <c r="B154" s="1">
        <v>2</v>
      </c>
      <c r="D154" s="19">
        <v>0</v>
      </c>
      <c r="E154" s="19">
        <v>1</v>
      </c>
      <c r="F154" s="19"/>
      <c r="G154" s="19">
        <v>0</v>
      </c>
      <c r="H154" s="19">
        <v>2</v>
      </c>
      <c r="I154" s="19"/>
      <c r="J154" s="18">
        <v>1</v>
      </c>
      <c r="K154" s="18">
        <v>1</v>
      </c>
      <c r="L154" s="18"/>
      <c r="M154" s="21">
        <f>AVERAGE(D154,G154,J154)</f>
        <v>0.33333333333333331</v>
      </c>
      <c r="N154" s="5">
        <f>AVERAGE(E154,H154,K154)</f>
        <v>1.3333333333333333</v>
      </c>
    </row>
    <row r="155" spans="1:14" ht="13.5" customHeight="1" x14ac:dyDescent="0.2">
      <c r="A155" s="4" t="s">
        <v>84</v>
      </c>
      <c r="B155" s="1">
        <v>2</v>
      </c>
      <c r="D155" s="19">
        <v>1</v>
      </c>
      <c r="E155" s="19">
        <v>1</v>
      </c>
      <c r="F155" s="19"/>
      <c r="G155" s="19">
        <v>1</v>
      </c>
      <c r="H155" s="19">
        <v>1</v>
      </c>
      <c r="I155" s="19"/>
      <c r="J155" s="18"/>
      <c r="K155" s="18"/>
      <c r="L155" s="18" t="s">
        <v>13</v>
      </c>
    </row>
    <row r="156" spans="1:14" ht="13.5" customHeight="1" x14ac:dyDescent="0.2">
      <c r="A156" s="4" t="s">
        <v>89</v>
      </c>
      <c r="B156" s="1">
        <v>3</v>
      </c>
      <c r="D156" s="19">
        <v>2</v>
      </c>
      <c r="E156" s="19">
        <v>2</v>
      </c>
      <c r="F156" s="19"/>
      <c r="G156" s="19">
        <v>2</v>
      </c>
      <c r="H156" s="19">
        <v>2</v>
      </c>
      <c r="I156" s="19"/>
      <c r="J156" s="18">
        <v>2</v>
      </c>
      <c r="K156" s="18">
        <v>2</v>
      </c>
      <c r="L156" s="18" t="s">
        <v>115</v>
      </c>
      <c r="M156" s="21">
        <f>AVERAGE(D156,G156,J156)</f>
        <v>2</v>
      </c>
      <c r="N156" s="5">
        <f>AVERAGE(E156,H156,K156)</f>
        <v>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Sittande till stående</vt:lpstr>
      <vt:lpstr>Stående till sittande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Inger Gunilla Elmgren Frykberg</dc:creator>
  <dc:description/>
  <cp:lastModifiedBy>Alisa Lincke</cp:lastModifiedBy>
  <cp:revision>2</cp:revision>
  <dcterms:created xsi:type="dcterms:W3CDTF">2025-10-08T09:06:48Z</dcterms:created>
  <dcterms:modified xsi:type="dcterms:W3CDTF">2026-03-19T21:13:17Z</dcterms:modified>
  <dc:language>en-GB</dc:language>
</cp:coreProperties>
</file>